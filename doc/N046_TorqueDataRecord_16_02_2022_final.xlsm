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erssandstrom/target_fat_galicia_analysis/doc/"/>
    </mc:Choice>
  </mc:AlternateContent>
  <xr:revisionPtr revIDLastSave="0" documentId="13_ncr:1_{8088877F-1FA5-DA4A-BCC7-E9826FF53855}" xr6:coauthVersionLast="36" xr6:coauthVersionMax="36" xr10:uidLastSave="{00000000-0000-0000-0000-000000000000}"/>
  <bookViews>
    <workbookView xWindow="0" yWindow="460" windowWidth="35840" windowHeight="20900" activeTab="3" xr2:uid="{00000000-000D-0000-FFFF-FFFF00000000}"/>
  </bookViews>
  <sheets>
    <sheet name="Low Main Bearing Temperature" sheetId="8" r:id="rId1"/>
    <sheet name="High Main Bearing Temperature" sheetId="7" r:id="rId2"/>
    <sheet name="Torque Motor Temperature" sheetId="6" r:id="rId3"/>
    <sheet name="Torque data 12h" sheetId="1" r:id="rId4"/>
  </sheets>
  <calcPr calcId="181029"/>
</workbook>
</file>

<file path=xl/calcChain.xml><?xml version="1.0" encoding="utf-8"?>
<calcChain xmlns="http://schemas.openxmlformats.org/spreadsheetml/2006/main">
  <c r="L14" i="1" l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5" i="1"/>
  <c r="L6" i="1"/>
  <c r="L7" i="1"/>
  <c r="L8" i="1"/>
  <c r="L9" i="1"/>
  <c r="L10" i="1"/>
  <c r="L11" i="1"/>
  <c r="L12" i="1"/>
  <c r="L13" i="1"/>
  <c r="L4" i="1"/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4" i="1"/>
  <c r="J34" i="1" l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C66" i="1"/>
  <c r="C65" i="1"/>
  <c r="C64" i="1"/>
  <c r="C63" i="1"/>
  <c r="C62" i="1"/>
  <c r="C61" i="1"/>
  <c r="C60" i="1"/>
  <c r="C59" i="1"/>
  <c r="C52" i="1"/>
  <c r="C51" i="1"/>
  <c r="C49" i="1"/>
  <c r="C47" i="1"/>
  <c r="C44" i="1"/>
  <c r="C42" i="1"/>
  <c r="C41" i="1"/>
  <c r="C40" i="1"/>
  <c r="C39" i="1"/>
  <c r="C38" i="1"/>
  <c r="C37" i="1"/>
  <c r="C36" i="1"/>
  <c r="C35" i="1"/>
  <c r="C34" i="1"/>
  <c r="J29" i="1"/>
  <c r="J27" i="1"/>
  <c r="C29" i="1"/>
  <c r="C27" i="1"/>
  <c r="J18" i="1"/>
  <c r="C18" i="1"/>
  <c r="C16" i="1"/>
  <c r="J16" i="1"/>
  <c r="J13" i="1"/>
  <c r="J5" i="1"/>
  <c r="C13" i="1"/>
  <c r="C5" i="1"/>
  <c r="C91" i="1" l="1"/>
  <c r="C92" i="1"/>
  <c r="C93" i="1"/>
  <c r="C94" i="1"/>
  <c r="C95" i="1"/>
  <c r="C96" i="1"/>
  <c r="C82" i="1"/>
  <c r="C75" i="1"/>
  <c r="C76" i="1"/>
  <c r="C67" i="1"/>
  <c r="C68" i="1"/>
  <c r="C69" i="1"/>
  <c r="C70" i="1"/>
  <c r="C72" i="1"/>
  <c r="C71" i="1"/>
  <c r="C73" i="1"/>
  <c r="C74" i="1"/>
  <c r="C77" i="1"/>
  <c r="C78" i="1"/>
  <c r="C79" i="1"/>
  <c r="C80" i="1"/>
  <c r="C81" i="1"/>
  <c r="C83" i="1"/>
  <c r="C84" i="1"/>
  <c r="C85" i="1"/>
  <c r="C86" i="1"/>
  <c r="C87" i="1"/>
  <c r="C88" i="1"/>
  <c r="C89" i="1"/>
  <c r="C90" i="1"/>
  <c r="C48" i="1"/>
  <c r="C30" i="1"/>
  <c r="C25" i="1"/>
  <c r="J22" i="1"/>
  <c r="J23" i="1"/>
  <c r="J24" i="1"/>
  <c r="J25" i="1"/>
  <c r="J26" i="1"/>
  <c r="J28" i="1"/>
  <c r="J30" i="1"/>
  <c r="J31" i="1"/>
  <c r="J32" i="1"/>
  <c r="J33" i="1"/>
  <c r="J6" i="1"/>
  <c r="J7" i="1"/>
  <c r="J8" i="1"/>
  <c r="J9" i="1"/>
  <c r="J10" i="1"/>
  <c r="J11" i="1"/>
  <c r="J12" i="1"/>
  <c r="J14" i="1"/>
  <c r="J15" i="1"/>
  <c r="J17" i="1"/>
  <c r="J19" i="1"/>
  <c r="J20" i="1"/>
  <c r="J21" i="1"/>
  <c r="J4" i="1"/>
  <c r="C6" i="1"/>
  <c r="C7" i="1"/>
  <c r="C8" i="1"/>
  <c r="C9" i="1"/>
  <c r="C10" i="1"/>
  <c r="C11" i="1"/>
  <c r="C12" i="1"/>
  <c r="C14" i="1"/>
  <c r="C15" i="1"/>
  <c r="C17" i="1"/>
  <c r="C19" i="1"/>
  <c r="C20" i="1"/>
  <c r="C21" i="1"/>
  <c r="C22" i="1"/>
  <c r="C23" i="1"/>
  <c r="C24" i="1"/>
  <c r="C26" i="1"/>
  <c r="C28" i="1"/>
  <c r="C31" i="1"/>
  <c r="C32" i="1"/>
  <c r="C33" i="1"/>
  <c r="C43" i="1"/>
  <c r="C45" i="1"/>
  <c r="C46" i="1"/>
  <c r="C50" i="1"/>
  <c r="C53" i="1"/>
  <c r="C54" i="1"/>
  <c r="C55" i="1"/>
  <c r="C56" i="1"/>
  <c r="C57" i="1"/>
  <c r="C58" i="1"/>
  <c r="C4" i="1"/>
</calcChain>
</file>

<file path=xl/sharedStrings.xml><?xml version="1.0" encoding="utf-8"?>
<sst xmlns="http://schemas.openxmlformats.org/spreadsheetml/2006/main" count="16" uniqueCount="14">
  <si>
    <t>Resistance</t>
  </si>
  <si>
    <t>Data nº</t>
  </si>
  <si>
    <t>Thermal Motor Load
(P-0-0084)</t>
  </si>
  <si>
    <t>Torque/Force Feedback
(S-0-0084)</t>
  </si>
  <si>
    <t>Torque Min
(% Max Torque)</t>
  </si>
  <si>
    <t>Torque Max
(% Max Torque)</t>
  </si>
  <si>
    <t>Torque Temp (ºC)</t>
  </si>
  <si>
    <t>High Bearing
 Temp (ºC)</t>
  </si>
  <si>
    <t>Low Bearing 
Temp (ºC)</t>
  </si>
  <si>
    <t>Time</t>
  </si>
  <si>
    <t>Init Time</t>
  </si>
  <si>
    <t>End Time</t>
  </si>
  <si>
    <t>Ambient Temp (ºC)</t>
  </si>
  <si>
    <t>Torque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</si>
</sst>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6" formatCode="hh:mm:ss;@"/>
  </numFmts>
  <fonts count="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0" fillId="0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left" vertical="top"/>
    </xf>
    <xf numFmtId="22" fontId="1" fillId="2" borderId="1" xfId="0" applyNumberFormat="1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 wrapText="1"/>
    </xf>
    <xf numFmtId="21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 applyAlignment="1">
      <alignment horizontal="center"/>
    </xf>
    <xf numFmtId="166" fontId="1" fillId="2" borderId="1" xfId="0" applyNumberFormat="1" applyFont="1" applyFill="1" applyBorder="1" applyAlignment="1">
      <alignment horizontal="left" vertical="top"/>
    </xf>
    <xf numFmtId="166" fontId="0" fillId="0" borderId="3" xfId="0" applyNumberFormat="1" applyFont="1" applyFill="1" applyBorder="1" applyAlignment="1">
      <alignment horizont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b" anchorCtr="1"/>
          <a:lstStyle/>
          <a:p>
            <a:pPr>
              <a:defRPr sz="1400" b="0" i="0" u="none" strike="noStrike" kern="1200" spc="0" baseline="0">
                <a:ln w="25400"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s-ES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1400" b="0" i="0" u="none" strike="noStrike" kern="1200" spc="0" baseline="0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data 12h'!$D$4:$D$96</c:f>
              <c:numCache>
                <c:formatCode>hh:mm:ss;@</c:formatCode>
                <c:ptCount val="93"/>
                <c:pt idx="0">
                  <c:v>0.34387731481481482</c:v>
                </c:pt>
                <c:pt idx="1">
                  <c:v>0.34812500000000002</c:v>
                </c:pt>
                <c:pt idx="2">
                  <c:v>0.35300925925925924</c:v>
                </c:pt>
                <c:pt idx="3">
                  <c:v>0.35554398148148147</c:v>
                </c:pt>
                <c:pt idx="4">
                  <c:v>0.36002314814814812</c:v>
                </c:pt>
                <c:pt idx="5">
                  <c:v>0.36452546296296295</c:v>
                </c:pt>
                <c:pt idx="6">
                  <c:v>0.37012731481481487</c:v>
                </c:pt>
                <c:pt idx="7">
                  <c:v>0.37287037037037035</c:v>
                </c:pt>
                <c:pt idx="8">
                  <c:v>0.37723379629629633</c:v>
                </c:pt>
                <c:pt idx="9">
                  <c:v>0.37989583333333332</c:v>
                </c:pt>
                <c:pt idx="10">
                  <c:v>0.38317129629629637</c:v>
                </c:pt>
                <c:pt idx="11">
                  <c:v>0.38636574074074076</c:v>
                </c:pt>
                <c:pt idx="12">
                  <c:v>0.38914351851851853</c:v>
                </c:pt>
                <c:pt idx="13">
                  <c:v>0.39329861111111114</c:v>
                </c:pt>
                <c:pt idx="14">
                  <c:v>0.39612268518518517</c:v>
                </c:pt>
                <c:pt idx="15">
                  <c:v>0.40465277777777781</c:v>
                </c:pt>
                <c:pt idx="16">
                  <c:v>0.40940972222222227</c:v>
                </c:pt>
                <c:pt idx="17">
                  <c:v>0.41394675925925928</c:v>
                </c:pt>
                <c:pt idx="18">
                  <c:v>0.417488425925926</c:v>
                </c:pt>
                <c:pt idx="19">
                  <c:v>0.42187500000000006</c:v>
                </c:pt>
                <c:pt idx="20">
                  <c:v>0.42717592592592596</c:v>
                </c:pt>
                <c:pt idx="21">
                  <c:v>0.43105324074074075</c:v>
                </c:pt>
                <c:pt idx="22">
                  <c:v>0.43512731481481481</c:v>
                </c:pt>
                <c:pt idx="23">
                  <c:v>0.43792824074074077</c:v>
                </c:pt>
                <c:pt idx="24">
                  <c:v>0.4425</c:v>
                </c:pt>
                <c:pt idx="25">
                  <c:v>0.44525462962962964</c:v>
                </c:pt>
                <c:pt idx="26">
                  <c:v>0.44800925925925933</c:v>
                </c:pt>
                <c:pt idx="27">
                  <c:v>0.45295138888888892</c:v>
                </c:pt>
                <c:pt idx="28">
                  <c:v>0.45694444444444449</c:v>
                </c:pt>
                <c:pt idx="29">
                  <c:v>0.46107638888888886</c:v>
                </c:pt>
                <c:pt idx="30">
                  <c:v>0.46385416666666662</c:v>
                </c:pt>
                <c:pt idx="31">
                  <c:v>0.46663194444444439</c:v>
                </c:pt>
                <c:pt idx="32">
                  <c:v>0.46940972222222216</c:v>
                </c:pt>
                <c:pt idx="33">
                  <c:v>0.47218749999999993</c:v>
                </c:pt>
                <c:pt idx="34">
                  <c:v>0.47496527777777769</c:v>
                </c:pt>
                <c:pt idx="35">
                  <c:v>0.47774305555555546</c:v>
                </c:pt>
                <c:pt idx="36">
                  <c:v>0.48052083333333323</c:v>
                </c:pt>
                <c:pt idx="37">
                  <c:v>0.483298611111111</c:v>
                </c:pt>
                <c:pt idx="38">
                  <c:v>0.48607638888888877</c:v>
                </c:pt>
                <c:pt idx="39">
                  <c:v>0.48921296296296302</c:v>
                </c:pt>
                <c:pt idx="40">
                  <c:v>0.49200231481481477</c:v>
                </c:pt>
                <c:pt idx="41">
                  <c:v>0.49596064814814822</c:v>
                </c:pt>
                <c:pt idx="42">
                  <c:v>0.5020486111111111</c:v>
                </c:pt>
                <c:pt idx="43">
                  <c:v>0.50429398148148141</c:v>
                </c:pt>
                <c:pt idx="44">
                  <c:v>0.50694444444444442</c:v>
                </c:pt>
                <c:pt idx="45">
                  <c:v>0.50979166666666664</c:v>
                </c:pt>
                <c:pt idx="46">
                  <c:v>0.51312500000000005</c:v>
                </c:pt>
                <c:pt idx="47">
                  <c:v>0.51583333333333337</c:v>
                </c:pt>
                <c:pt idx="48">
                  <c:v>0.5186574074074074</c:v>
                </c:pt>
                <c:pt idx="49">
                  <c:v>0.52289351851851851</c:v>
                </c:pt>
                <c:pt idx="50">
                  <c:v>0.5266319444444445</c:v>
                </c:pt>
                <c:pt idx="51">
                  <c:v>0.5304282407407408</c:v>
                </c:pt>
                <c:pt idx="52">
                  <c:v>0.53427083333333336</c:v>
                </c:pt>
                <c:pt idx="53">
                  <c:v>0.53782407407407407</c:v>
                </c:pt>
                <c:pt idx="54">
                  <c:v>0.54214120370370367</c:v>
                </c:pt>
                <c:pt idx="55">
                  <c:v>0.54908564814814809</c:v>
                </c:pt>
                <c:pt idx="56">
                  <c:v>0.55603009259259251</c:v>
                </c:pt>
                <c:pt idx="57">
                  <c:v>0.56297453703703693</c:v>
                </c:pt>
                <c:pt idx="58">
                  <c:v>0.56991898148148135</c:v>
                </c:pt>
                <c:pt idx="59">
                  <c:v>0.57686342592592577</c:v>
                </c:pt>
                <c:pt idx="60">
                  <c:v>0.58380787037037019</c:v>
                </c:pt>
                <c:pt idx="61">
                  <c:v>0.59075231481481461</c:v>
                </c:pt>
                <c:pt idx="62">
                  <c:v>0.59769675925925903</c:v>
                </c:pt>
                <c:pt idx="63">
                  <c:v>0.60464120370370344</c:v>
                </c:pt>
                <c:pt idx="64">
                  <c:v>0.61158564814814786</c:v>
                </c:pt>
                <c:pt idx="65">
                  <c:v>0.61586805555555557</c:v>
                </c:pt>
                <c:pt idx="66">
                  <c:v>0.6221296296296297</c:v>
                </c:pt>
                <c:pt idx="67">
                  <c:v>0.62578703703703698</c:v>
                </c:pt>
                <c:pt idx="68">
                  <c:v>0.63276620370370373</c:v>
                </c:pt>
                <c:pt idx="69">
                  <c:v>0.64174768518518521</c:v>
                </c:pt>
                <c:pt idx="70">
                  <c:v>0.64964120370370371</c:v>
                </c:pt>
                <c:pt idx="71">
                  <c:v>0.65635416666666668</c:v>
                </c:pt>
                <c:pt idx="72">
                  <c:v>0.66506944444444449</c:v>
                </c:pt>
                <c:pt idx="73">
                  <c:v>0.67305555555555563</c:v>
                </c:pt>
                <c:pt idx="74">
                  <c:v>0.68121527777777779</c:v>
                </c:pt>
                <c:pt idx="75">
                  <c:v>0.68913194444444437</c:v>
                </c:pt>
                <c:pt idx="76">
                  <c:v>0.69678240740740738</c:v>
                </c:pt>
                <c:pt idx="77">
                  <c:v>0.70405092592592589</c:v>
                </c:pt>
                <c:pt idx="78">
                  <c:v>0.71417824074074077</c:v>
                </c:pt>
                <c:pt idx="79">
                  <c:v>0.72217592592592594</c:v>
                </c:pt>
                <c:pt idx="80">
                  <c:v>0.7302199074074075</c:v>
                </c:pt>
                <c:pt idx="81">
                  <c:v>0.73829861111111106</c:v>
                </c:pt>
                <c:pt idx="82">
                  <c:v>0.74585648148148143</c:v>
                </c:pt>
                <c:pt idx="83">
                  <c:v>0.75346064814814817</c:v>
                </c:pt>
                <c:pt idx="84">
                  <c:v>0.76090277777777771</c:v>
                </c:pt>
                <c:pt idx="85">
                  <c:v>0.76858796296296295</c:v>
                </c:pt>
                <c:pt idx="86">
                  <c:v>0.77615740740740746</c:v>
                </c:pt>
                <c:pt idx="87">
                  <c:v>0.78365740740740741</c:v>
                </c:pt>
                <c:pt idx="88">
                  <c:v>0.79221064814814812</c:v>
                </c:pt>
                <c:pt idx="89">
                  <c:v>0.79935185185185187</c:v>
                </c:pt>
                <c:pt idx="90">
                  <c:v>0.80649305555555562</c:v>
                </c:pt>
                <c:pt idx="91">
                  <c:v>0.8127199074074074</c:v>
                </c:pt>
                <c:pt idx="92">
                  <c:v>0.8145486111111111</c:v>
                </c:pt>
              </c:numCache>
            </c:numRef>
          </c:xVal>
          <c:yVal>
            <c:numRef>
              <c:f>'Torque data 12h'!$F$4:$F$96</c:f>
              <c:numCache>
                <c:formatCode>General</c:formatCode>
                <c:ptCount val="93"/>
                <c:pt idx="0">
                  <c:v>13.9</c:v>
                </c:pt>
                <c:pt idx="1">
                  <c:v>13.9</c:v>
                </c:pt>
                <c:pt idx="2">
                  <c:v>14</c:v>
                </c:pt>
                <c:pt idx="3">
                  <c:v>14</c:v>
                </c:pt>
                <c:pt idx="4">
                  <c:v>14.1</c:v>
                </c:pt>
                <c:pt idx="5">
                  <c:v>14.2</c:v>
                </c:pt>
                <c:pt idx="6">
                  <c:v>14.5</c:v>
                </c:pt>
                <c:pt idx="7">
                  <c:v>14.4</c:v>
                </c:pt>
                <c:pt idx="8">
                  <c:v>14.6</c:v>
                </c:pt>
                <c:pt idx="9">
                  <c:v>14.6</c:v>
                </c:pt>
                <c:pt idx="10">
                  <c:v>14.7</c:v>
                </c:pt>
                <c:pt idx="11">
                  <c:v>14.8</c:v>
                </c:pt>
                <c:pt idx="12">
                  <c:v>14.8</c:v>
                </c:pt>
                <c:pt idx="13">
                  <c:v>14.9</c:v>
                </c:pt>
                <c:pt idx="14">
                  <c:v>15</c:v>
                </c:pt>
                <c:pt idx="15">
                  <c:v>15.2</c:v>
                </c:pt>
                <c:pt idx="16">
                  <c:v>15.3</c:v>
                </c:pt>
                <c:pt idx="17">
                  <c:v>15.4</c:v>
                </c:pt>
                <c:pt idx="18">
                  <c:v>15.5</c:v>
                </c:pt>
                <c:pt idx="19">
                  <c:v>15.5</c:v>
                </c:pt>
                <c:pt idx="20">
                  <c:v>15.6</c:v>
                </c:pt>
                <c:pt idx="21">
                  <c:v>15.8</c:v>
                </c:pt>
                <c:pt idx="22">
                  <c:v>15.9</c:v>
                </c:pt>
                <c:pt idx="23">
                  <c:v>16</c:v>
                </c:pt>
                <c:pt idx="24">
                  <c:v>16.100000000000001</c:v>
                </c:pt>
                <c:pt idx="25">
                  <c:v>16.100000000000001</c:v>
                </c:pt>
                <c:pt idx="26">
                  <c:v>16.2</c:v>
                </c:pt>
                <c:pt idx="27">
                  <c:v>16.3</c:v>
                </c:pt>
                <c:pt idx="28">
                  <c:v>16.600000000000001</c:v>
                </c:pt>
                <c:pt idx="29">
                  <c:v>16.600000000000001</c:v>
                </c:pt>
                <c:pt idx="30">
                  <c:v>16.8</c:v>
                </c:pt>
                <c:pt idx="31">
                  <c:v>16.8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17.100000000000001</c:v>
                </c:pt>
                <c:pt idx="39">
                  <c:v>17.100000000000001</c:v>
                </c:pt>
                <c:pt idx="40">
                  <c:v>17.100000000000001</c:v>
                </c:pt>
                <c:pt idx="41">
                  <c:v>17.2</c:v>
                </c:pt>
                <c:pt idx="42">
                  <c:v>17.3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17.7</c:v>
                </c:pt>
                <c:pt idx="47">
                  <c:v>17.7</c:v>
                </c:pt>
                <c:pt idx="48">
                  <c:v>17.7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18.2</c:v>
                </c:pt>
                <c:pt idx="55">
                  <c:v>18.3</c:v>
                </c:pt>
                <c:pt idx="56">
                  <c:v>18.5</c:v>
                </c:pt>
                <c:pt idx="57">
                  <c:v>18.600000000000001</c:v>
                </c:pt>
                <c:pt idx="58">
                  <c:v>18.7</c:v>
                </c:pt>
                <c:pt idx="59">
                  <c:v>18.8</c:v>
                </c:pt>
                <c:pt idx="60">
                  <c:v>19</c:v>
                </c:pt>
                <c:pt idx="61">
                  <c:v>19.2</c:v>
                </c:pt>
                <c:pt idx="62">
                  <c:v>19.399999999999999</c:v>
                </c:pt>
                <c:pt idx="63">
                  <c:v>19.600000000000001</c:v>
                </c:pt>
                <c:pt idx="64">
                  <c:v>19.8</c:v>
                </c:pt>
                <c:pt idx="65">
                  <c:v>20</c:v>
                </c:pt>
                <c:pt idx="66">
                  <c:v>20.2</c:v>
                </c:pt>
                <c:pt idx="67">
                  <c:v>20.399999999999999</c:v>
                </c:pt>
                <c:pt idx="68">
                  <c:v>20.5</c:v>
                </c:pt>
                <c:pt idx="69">
                  <c:v>20.5</c:v>
                </c:pt>
                <c:pt idx="70">
                  <c:v>20.7</c:v>
                </c:pt>
                <c:pt idx="71">
                  <c:v>21</c:v>
                </c:pt>
                <c:pt idx="72">
                  <c:v>21</c:v>
                </c:pt>
                <c:pt idx="73">
                  <c:v>21.2</c:v>
                </c:pt>
                <c:pt idx="74">
                  <c:v>21.3</c:v>
                </c:pt>
                <c:pt idx="75">
                  <c:v>21.5</c:v>
                </c:pt>
                <c:pt idx="76">
                  <c:v>21.7</c:v>
                </c:pt>
                <c:pt idx="77">
                  <c:v>21.7</c:v>
                </c:pt>
                <c:pt idx="78">
                  <c:v>22</c:v>
                </c:pt>
                <c:pt idx="79">
                  <c:v>22.1</c:v>
                </c:pt>
                <c:pt idx="80">
                  <c:v>22.2</c:v>
                </c:pt>
                <c:pt idx="81">
                  <c:v>22.3</c:v>
                </c:pt>
                <c:pt idx="82">
                  <c:v>22.4</c:v>
                </c:pt>
                <c:pt idx="83">
                  <c:v>22.5</c:v>
                </c:pt>
                <c:pt idx="84">
                  <c:v>22.6</c:v>
                </c:pt>
                <c:pt idx="85">
                  <c:v>22.7</c:v>
                </c:pt>
                <c:pt idx="86">
                  <c:v>22.8</c:v>
                </c:pt>
                <c:pt idx="87">
                  <c:v>22.9</c:v>
                </c:pt>
                <c:pt idx="88">
                  <c:v>23.1</c:v>
                </c:pt>
                <c:pt idx="89">
                  <c:v>23.2</c:v>
                </c:pt>
                <c:pt idx="90">
                  <c:v>23.2</c:v>
                </c:pt>
                <c:pt idx="91">
                  <c:v>23.3</c:v>
                </c:pt>
                <c:pt idx="92">
                  <c:v>23.4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81-4629-95D3-4FD0CD35D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554335"/>
        <c:axId val="1001476575"/>
      </c:scatterChart>
      <c:valAx>
        <c:axId val="832554335"/>
        <c:scaling>
          <c:orientation val="minMax"/>
          <c:max val="0.82000000000000006"/>
          <c:min val="0.34000000000000008"/>
        </c:scaling>
        <c:delete val="0"/>
        <c:axPos val="b"/>
        <c:numFmt formatCode="[$-409]h:mm\ AM/PM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01476575"/>
        <c:crosses val="autoZero"/>
        <c:crossBetween val="midCat"/>
        <c:majorUnit val="1.2000000000000002E-2"/>
      </c:valAx>
      <c:valAx>
        <c:axId val="1001476575"/>
        <c:scaling>
          <c:orientation val="minMax"/>
          <c:min val="13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Temperature (ºC)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32554335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1"/>
          <a:lstStyle/>
          <a:p>
            <a:pPr>
              <a:defRPr sz="1400" b="0" i="0" u="none" strike="noStrike" kern="1200" spc="0" baseline="0">
                <a:ln w="25400"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s-ES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1400" b="0" i="0" u="none" strike="noStrike" kern="1200" spc="0" baseline="0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'Torque data 12h'!$D$4:$D$96</c:f>
              <c:numCache>
                <c:formatCode>hh:mm:ss;@</c:formatCode>
                <c:ptCount val="93"/>
                <c:pt idx="0">
                  <c:v>0.34387731481481482</c:v>
                </c:pt>
                <c:pt idx="1">
                  <c:v>0.34812500000000002</c:v>
                </c:pt>
                <c:pt idx="2">
                  <c:v>0.35300925925925924</c:v>
                </c:pt>
                <c:pt idx="3">
                  <c:v>0.35554398148148147</c:v>
                </c:pt>
                <c:pt idx="4">
                  <c:v>0.36002314814814812</c:v>
                </c:pt>
                <c:pt idx="5">
                  <c:v>0.36452546296296295</c:v>
                </c:pt>
                <c:pt idx="6">
                  <c:v>0.37012731481481487</c:v>
                </c:pt>
                <c:pt idx="7">
                  <c:v>0.37287037037037035</c:v>
                </c:pt>
                <c:pt idx="8">
                  <c:v>0.37723379629629633</c:v>
                </c:pt>
                <c:pt idx="9">
                  <c:v>0.37989583333333332</c:v>
                </c:pt>
                <c:pt idx="10">
                  <c:v>0.38317129629629637</c:v>
                </c:pt>
                <c:pt idx="11">
                  <c:v>0.38636574074074076</c:v>
                </c:pt>
                <c:pt idx="12">
                  <c:v>0.38914351851851853</c:v>
                </c:pt>
                <c:pt idx="13">
                  <c:v>0.39329861111111114</c:v>
                </c:pt>
                <c:pt idx="14">
                  <c:v>0.39612268518518517</c:v>
                </c:pt>
                <c:pt idx="15">
                  <c:v>0.40465277777777781</c:v>
                </c:pt>
                <c:pt idx="16">
                  <c:v>0.40940972222222227</c:v>
                </c:pt>
                <c:pt idx="17">
                  <c:v>0.41394675925925928</c:v>
                </c:pt>
                <c:pt idx="18">
                  <c:v>0.417488425925926</c:v>
                </c:pt>
                <c:pt idx="19">
                  <c:v>0.42187500000000006</c:v>
                </c:pt>
                <c:pt idx="20">
                  <c:v>0.42717592592592596</c:v>
                </c:pt>
                <c:pt idx="21">
                  <c:v>0.43105324074074075</c:v>
                </c:pt>
                <c:pt idx="22">
                  <c:v>0.43512731481481481</c:v>
                </c:pt>
                <c:pt idx="23">
                  <c:v>0.43792824074074077</c:v>
                </c:pt>
                <c:pt idx="24">
                  <c:v>0.4425</c:v>
                </c:pt>
                <c:pt idx="25">
                  <c:v>0.44525462962962964</c:v>
                </c:pt>
                <c:pt idx="26">
                  <c:v>0.44800925925925933</c:v>
                </c:pt>
                <c:pt idx="27">
                  <c:v>0.45295138888888892</c:v>
                </c:pt>
                <c:pt idx="28">
                  <c:v>0.45694444444444449</c:v>
                </c:pt>
                <c:pt idx="29">
                  <c:v>0.46107638888888886</c:v>
                </c:pt>
                <c:pt idx="30">
                  <c:v>0.46385416666666662</c:v>
                </c:pt>
                <c:pt idx="31">
                  <c:v>0.46663194444444439</c:v>
                </c:pt>
                <c:pt idx="32">
                  <c:v>0.46940972222222216</c:v>
                </c:pt>
                <c:pt idx="33">
                  <c:v>0.47218749999999993</c:v>
                </c:pt>
                <c:pt idx="34">
                  <c:v>0.47496527777777769</c:v>
                </c:pt>
                <c:pt idx="35">
                  <c:v>0.47774305555555546</c:v>
                </c:pt>
                <c:pt idx="36">
                  <c:v>0.48052083333333323</c:v>
                </c:pt>
                <c:pt idx="37">
                  <c:v>0.483298611111111</c:v>
                </c:pt>
                <c:pt idx="38">
                  <c:v>0.48607638888888877</c:v>
                </c:pt>
                <c:pt idx="39">
                  <c:v>0.48921296296296302</c:v>
                </c:pt>
                <c:pt idx="40">
                  <c:v>0.49200231481481477</c:v>
                </c:pt>
                <c:pt idx="41">
                  <c:v>0.49596064814814822</c:v>
                </c:pt>
                <c:pt idx="42">
                  <c:v>0.5020486111111111</c:v>
                </c:pt>
                <c:pt idx="43">
                  <c:v>0.50429398148148141</c:v>
                </c:pt>
                <c:pt idx="44">
                  <c:v>0.50694444444444442</c:v>
                </c:pt>
                <c:pt idx="45">
                  <c:v>0.50979166666666664</c:v>
                </c:pt>
                <c:pt idx="46">
                  <c:v>0.51312500000000005</c:v>
                </c:pt>
                <c:pt idx="47">
                  <c:v>0.51583333333333337</c:v>
                </c:pt>
                <c:pt idx="48">
                  <c:v>0.5186574074074074</c:v>
                </c:pt>
                <c:pt idx="49">
                  <c:v>0.52289351851851851</c:v>
                </c:pt>
                <c:pt idx="50">
                  <c:v>0.5266319444444445</c:v>
                </c:pt>
                <c:pt idx="51">
                  <c:v>0.5304282407407408</c:v>
                </c:pt>
                <c:pt idx="52">
                  <c:v>0.53427083333333336</c:v>
                </c:pt>
                <c:pt idx="53">
                  <c:v>0.53782407407407407</c:v>
                </c:pt>
                <c:pt idx="54">
                  <c:v>0.54214120370370367</c:v>
                </c:pt>
                <c:pt idx="55">
                  <c:v>0.54908564814814809</c:v>
                </c:pt>
                <c:pt idx="56">
                  <c:v>0.55603009259259251</c:v>
                </c:pt>
                <c:pt idx="57">
                  <c:v>0.56297453703703693</c:v>
                </c:pt>
                <c:pt idx="58">
                  <c:v>0.56991898148148135</c:v>
                </c:pt>
                <c:pt idx="59">
                  <c:v>0.57686342592592577</c:v>
                </c:pt>
                <c:pt idx="60">
                  <c:v>0.58380787037037019</c:v>
                </c:pt>
                <c:pt idx="61">
                  <c:v>0.59075231481481461</c:v>
                </c:pt>
                <c:pt idx="62">
                  <c:v>0.59769675925925903</c:v>
                </c:pt>
                <c:pt idx="63">
                  <c:v>0.60464120370370344</c:v>
                </c:pt>
                <c:pt idx="64">
                  <c:v>0.61158564814814786</c:v>
                </c:pt>
                <c:pt idx="65">
                  <c:v>0.61586805555555557</c:v>
                </c:pt>
                <c:pt idx="66">
                  <c:v>0.6221296296296297</c:v>
                </c:pt>
                <c:pt idx="67">
                  <c:v>0.62578703703703698</c:v>
                </c:pt>
                <c:pt idx="68">
                  <c:v>0.63276620370370373</c:v>
                </c:pt>
                <c:pt idx="69">
                  <c:v>0.64174768518518521</c:v>
                </c:pt>
                <c:pt idx="70">
                  <c:v>0.64964120370370371</c:v>
                </c:pt>
                <c:pt idx="71">
                  <c:v>0.65635416666666668</c:v>
                </c:pt>
                <c:pt idx="72">
                  <c:v>0.66506944444444449</c:v>
                </c:pt>
                <c:pt idx="73">
                  <c:v>0.67305555555555563</c:v>
                </c:pt>
                <c:pt idx="74">
                  <c:v>0.68121527777777779</c:v>
                </c:pt>
                <c:pt idx="75">
                  <c:v>0.68913194444444437</c:v>
                </c:pt>
                <c:pt idx="76">
                  <c:v>0.69678240740740738</c:v>
                </c:pt>
                <c:pt idx="77">
                  <c:v>0.70405092592592589</c:v>
                </c:pt>
                <c:pt idx="78">
                  <c:v>0.71417824074074077</c:v>
                </c:pt>
                <c:pt idx="79">
                  <c:v>0.72217592592592594</c:v>
                </c:pt>
                <c:pt idx="80">
                  <c:v>0.7302199074074075</c:v>
                </c:pt>
                <c:pt idx="81">
                  <c:v>0.73829861111111106</c:v>
                </c:pt>
                <c:pt idx="82">
                  <c:v>0.74585648148148143</c:v>
                </c:pt>
                <c:pt idx="83">
                  <c:v>0.75346064814814817</c:v>
                </c:pt>
                <c:pt idx="84">
                  <c:v>0.76090277777777771</c:v>
                </c:pt>
                <c:pt idx="85">
                  <c:v>0.76858796296296295</c:v>
                </c:pt>
                <c:pt idx="86">
                  <c:v>0.77615740740740746</c:v>
                </c:pt>
                <c:pt idx="87">
                  <c:v>0.78365740740740741</c:v>
                </c:pt>
                <c:pt idx="88">
                  <c:v>0.79221064814814812</c:v>
                </c:pt>
                <c:pt idx="89">
                  <c:v>0.79935185185185187</c:v>
                </c:pt>
                <c:pt idx="90">
                  <c:v>0.80649305555555562</c:v>
                </c:pt>
                <c:pt idx="91">
                  <c:v>0.8127199074074074</c:v>
                </c:pt>
                <c:pt idx="92">
                  <c:v>0.8145486111111111</c:v>
                </c:pt>
              </c:numCache>
            </c:numRef>
          </c:xVal>
          <c:yVal>
            <c:numRef>
              <c:f>'Torque data 12h'!$E$4:$E$96</c:f>
              <c:numCache>
                <c:formatCode>General</c:formatCode>
                <c:ptCount val="93"/>
                <c:pt idx="0">
                  <c:v>15</c:v>
                </c:pt>
                <c:pt idx="1">
                  <c:v>15</c:v>
                </c:pt>
                <c:pt idx="2">
                  <c:v>15.1</c:v>
                </c:pt>
                <c:pt idx="3">
                  <c:v>15.3</c:v>
                </c:pt>
                <c:pt idx="4">
                  <c:v>15.6</c:v>
                </c:pt>
                <c:pt idx="5">
                  <c:v>15.8</c:v>
                </c:pt>
                <c:pt idx="6">
                  <c:v>16.2</c:v>
                </c:pt>
                <c:pt idx="7">
                  <c:v>16.3</c:v>
                </c:pt>
                <c:pt idx="8">
                  <c:v>16.399999999999999</c:v>
                </c:pt>
                <c:pt idx="9">
                  <c:v>16.5</c:v>
                </c:pt>
                <c:pt idx="10">
                  <c:v>16.8</c:v>
                </c:pt>
                <c:pt idx="11">
                  <c:v>17</c:v>
                </c:pt>
                <c:pt idx="12">
                  <c:v>17.2</c:v>
                </c:pt>
                <c:pt idx="13">
                  <c:v>17.3</c:v>
                </c:pt>
                <c:pt idx="14">
                  <c:v>17.5</c:v>
                </c:pt>
                <c:pt idx="15">
                  <c:v>17.899999999999999</c:v>
                </c:pt>
                <c:pt idx="16">
                  <c:v>17.899999999999999</c:v>
                </c:pt>
                <c:pt idx="17">
                  <c:v>18.2</c:v>
                </c:pt>
                <c:pt idx="18">
                  <c:v>18.3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18.899999999999999</c:v>
                </c:pt>
                <c:pt idx="22">
                  <c:v>19</c:v>
                </c:pt>
                <c:pt idx="23">
                  <c:v>19.100000000000001</c:v>
                </c:pt>
                <c:pt idx="24">
                  <c:v>19.2</c:v>
                </c:pt>
                <c:pt idx="25">
                  <c:v>19.2</c:v>
                </c:pt>
                <c:pt idx="26">
                  <c:v>19.399999999999999</c:v>
                </c:pt>
                <c:pt idx="27">
                  <c:v>19.5</c:v>
                </c:pt>
                <c:pt idx="28">
                  <c:v>19.8</c:v>
                </c:pt>
                <c:pt idx="29">
                  <c:v>20</c:v>
                </c:pt>
                <c:pt idx="30">
                  <c:v>20.2</c:v>
                </c:pt>
                <c:pt idx="31">
                  <c:v>20.2</c:v>
                </c:pt>
                <c:pt idx="32">
                  <c:v>20.3</c:v>
                </c:pt>
                <c:pt idx="33">
                  <c:v>20.399999999999999</c:v>
                </c:pt>
                <c:pt idx="34">
                  <c:v>20.5</c:v>
                </c:pt>
                <c:pt idx="35">
                  <c:v>20.5</c:v>
                </c:pt>
                <c:pt idx="36">
                  <c:v>20.6</c:v>
                </c:pt>
                <c:pt idx="37">
                  <c:v>20.6</c:v>
                </c:pt>
                <c:pt idx="38">
                  <c:v>20.7</c:v>
                </c:pt>
                <c:pt idx="39">
                  <c:v>20.7</c:v>
                </c:pt>
                <c:pt idx="40">
                  <c:v>20.8</c:v>
                </c:pt>
                <c:pt idx="41">
                  <c:v>20.9</c:v>
                </c:pt>
                <c:pt idx="42">
                  <c:v>21</c:v>
                </c:pt>
                <c:pt idx="43">
                  <c:v>21.1</c:v>
                </c:pt>
                <c:pt idx="44">
                  <c:v>21.2</c:v>
                </c:pt>
                <c:pt idx="45">
                  <c:v>21.2</c:v>
                </c:pt>
                <c:pt idx="46">
                  <c:v>21.3</c:v>
                </c:pt>
                <c:pt idx="47">
                  <c:v>21.5</c:v>
                </c:pt>
                <c:pt idx="48">
                  <c:v>21.5</c:v>
                </c:pt>
                <c:pt idx="49">
                  <c:v>21.6</c:v>
                </c:pt>
                <c:pt idx="50">
                  <c:v>21.7</c:v>
                </c:pt>
                <c:pt idx="51">
                  <c:v>21.8</c:v>
                </c:pt>
                <c:pt idx="52">
                  <c:v>22</c:v>
                </c:pt>
                <c:pt idx="53">
                  <c:v>22.2</c:v>
                </c:pt>
                <c:pt idx="54">
                  <c:v>22.4</c:v>
                </c:pt>
                <c:pt idx="55">
                  <c:v>22.7</c:v>
                </c:pt>
                <c:pt idx="56">
                  <c:v>23</c:v>
                </c:pt>
                <c:pt idx="57">
                  <c:v>23.3</c:v>
                </c:pt>
                <c:pt idx="58">
                  <c:v>23.6</c:v>
                </c:pt>
                <c:pt idx="59">
                  <c:v>23.9</c:v>
                </c:pt>
                <c:pt idx="60">
                  <c:v>24.2</c:v>
                </c:pt>
                <c:pt idx="61">
                  <c:v>24.5</c:v>
                </c:pt>
                <c:pt idx="62">
                  <c:v>24.8</c:v>
                </c:pt>
                <c:pt idx="63">
                  <c:v>25.1</c:v>
                </c:pt>
                <c:pt idx="64">
                  <c:v>25.6</c:v>
                </c:pt>
                <c:pt idx="65">
                  <c:v>26</c:v>
                </c:pt>
                <c:pt idx="66">
                  <c:v>26.2</c:v>
                </c:pt>
                <c:pt idx="67">
                  <c:v>26.1</c:v>
                </c:pt>
                <c:pt idx="68">
                  <c:v>26.1</c:v>
                </c:pt>
                <c:pt idx="69">
                  <c:v>26.4</c:v>
                </c:pt>
                <c:pt idx="70">
                  <c:v>26.3</c:v>
                </c:pt>
                <c:pt idx="71">
                  <c:v>26.3</c:v>
                </c:pt>
                <c:pt idx="72">
                  <c:v>26.2</c:v>
                </c:pt>
                <c:pt idx="73">
                  <c:v>26.3</c:v>
                </c:pt>
                <c:pt idx="74">
                  <c:v>26.5</c:v>
                </c:pt>
                <c:pt idx="75">
                  <c:v>26.5</c:v>
                </c:pt>
                <c:pt idx="76">
                  <c:v>26.6</c:v>
                </c:pt>
                <c:pt idx="77">
                  <c:v>26.5</c:v>
                </c:pt>
                <c:pt idx="78">
                  <c:v>26.6</c:v>
                </c:pt>
                <c:pt idx="79">
                  <c:v>26.7</c:v>
                </c:pt>
                <c:pt idx="80">
                  <c:v>26.8</c:v>
                </c:pt>
                <c:pt idx="81">
                  <c:v>26.9</c:v>
                </c:pt>
                <c:pt idx="82">
                  <c:v>27</c:v>
                </c:pt>
                <c:pt idx="83">
                  <c:v>26.9</c:v>
                </c:pt>
                <c:pt idx="84">
                  <c:v>27.1</c:v>
                </c:pt>
                <c:pt idx="85">
                  <c:v>27.2</c:v>
                </c:pt>
                <c:pt idx="86">
                  <c:v>27.2</c:v>
                </c:pt>
                <c:pt idx="87">
                  <c:v>27.3</c:v>
                </c:pt>
                <c:pt idx="88">
                  <c:v>27.4</c:v>
                </c:pt>
                <c:pt idx="89">
                  <c:v>27.5</c:v>
                </c:pt>
                <c:pt idx="90">
                  <c:v>27.6</c:v>
                </c:pt>
                <c:pt idx="91">
                  <c:v>27.6</c:v>
                </c:pt>
                <c:pt idx="92">
                  <c:v>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8-49C5-954C-9A0DD9F8C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554335"/>
        <c:axId val="1001476575"/>
      </c:scatterChart>
      <c:valAx>
        <c:axId val="832554335"/>
        <c:scaling>
          <c:orientation val="minMax"/>
          <c:max val="0.82000000000000006"/>
          <c:min val="0.34000000000000008"/>
        </c:scaling>
        <c:delete val="0"/>
        <c:axPos val="b"/>
        <c:numFmt formatCode="[$-409]h:mm\ AM/PM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01476575"/>
        <c:crosses val="autoZero"/>
        <c:crossBetween val="midCat"/>
        <c:majorUnit val="1.2000000000000002E-2"/>
      </c:valAx>
      <c:valAx>
        <c:axId val="1001476575"/>
        <c:scaling>
          <c:orientation val="minMax"/>
          <c:max val="28"/>
          <c:min val="1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Temperature (ºC)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32554335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1"/>
          <a:lstStyle/>
          <a:p>
            <a:pPr>
              <a:defRPr sz="1400" b="0" i="0" u="none" strike="noStrike" kern="1200" spc="0" baseline="0">
                <a:ln w="25400"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s-ES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1400" b="0" i="0" u="none" strike="noStrike" kern="1200" spc="0" baseline="0">
              <a:ln w="25400"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'Torque data 12h'!$D$4:$D$96</c:f>
              <c:numCache>
                <c:formatCode>hh:mm:ss;@</c:formatCode>
                <c:ptCount val="93"/>
                <c:pt idx="0">
                  <c:v>0.34387731481481482</c:v>
                </c:pt>
                <c:pt idx="1">
                  <c:v>0.34812500000000002</c:v>
                </c:pt>
                <c:pt idx="2">
                  <c:v>0.35300925925925924</c:v>
                </c:pt>
                <c:pt idx="3">
                  <c:v>0.35554398148148147</c:v>
                </c:pt>
                <c:pt idx="4">
                  <c:v>0.36002314814814812</c:v>
                </c:pt>
                <c:pt idx="5">
                  <c:v>0.36452546296296295</c:v>
                </c:pt>
                <c:pt idx="6">
                  <c:v>0.37012731481481487</c:v>
                </c:pt>
                <c:pt idx="7">
                  <c:v>0.37287037037037035</c:v>
                </c:pt>
                <c:pt idx="8">
                  <c:v>0.37723379629629633</c:v>
                </c:pt>
                <c:pt idx="9">
                  <c:v>0.37989583333333332</c:v>
                </c:pt>
                <c:pt idx="10">
                  <c:v>0.38317129629629637</c:v>
                </c:pt>
                <c:pt idx="11">
                  <c:v>0.38636574074074076</c:v>
                </c:pt>
                <c:pt idx="12">
                  <c:v>0.38914351851851853</c:v>
                </c:pt>
                <c:pt idx="13">
                  <c:v>0.39329861111111114</c:v>
                </c:pt>
                <c:pt idx="14">
                  <c:v>0.39612268518518517</c:v>
                </c:pt>
                <c:pt idx="15">
                  <c:v>0.40465277777777781</c:v>
                </c:pt>
                <c:pt idx="16">
                  <c:v>0.40940972222222227</c:v>
                </c:pt>
                <c:pt idx="17">
                  <c:v>0.41394675925925928</c:v>
                </c:pt>
                <c:pt idx="18">
                  <c:v>0.417488425925926</c:v>
                </c:pt>
                <c:pt idx="19">
                  <c:v>0.42187500000000006</c:v>
                </c:pt>
                <c:pt idx="20">
                  <c:v>0.42717592592592596</c:v>
                </c:pt>
                <c:pt idx="21">
                  <c:v>0.43105324074074075</c:v>
                </c:pt>
                <c:pt idx="22">
                  <c:v>0.43512731481481481</c:v>
                </c:pt>
                <c:pt idx="23">
                  <c:v>0.43792824074074077</c:v>
                </c:pt>
                <c:pt idx="24">
                  <c:v>0.4425</c:v>
                </c:pt>
                <c:pt idx="25">
                  <c:v>0.44525462962962964</c:v>
                </c:pt>
                <c:pt idx="26">
                  <c:v>0.44800925925925933</c:v>
                </c:pt>
                <c:pt idx="27">
                  <c:v>0.45295138888888892</c:v>
                </c:pt>
                <c:pt idx="28">
                  <c:v>0.45694444444444449</c:v>
                </c:pt>
                <c:pt idx="29">
                  <c:v>0.46107638888888886</c:v>
                </c:pt>
                <c:pt idx="30">
                  <c:v>0.46385416666666662</c:v>
                </c:pt>
                <c:pt idx="31">
                  <c:v>0.46663194444444439</c:v>
                </c:pt>
                <c:pt idx="32">
                  <c:v>0.46940972222222216</c:v>
                </c:pt>
                <c:pt idx="33">
                  <c:v>0.47218749999999993</c:v>
                </c:pt>
                <c:pt idx="34">
                  <c:v>0.47496527777777769</c:v>
                </c:pt>
                <c:pt idx="35">
                  <c:v>0.47774305555555546</c:v>
                </c:pt>
                <c:pt idx="36">
                  <c:v>0.48052083333333323</c:v>
                </c:pt>
                <c:pt idx="37">
                  <c:v>0.483298611111111</c:v>
                </c:pt>
                <c:pt idx="38">
                  <c:v>0.48607638888888877</c:v>
                </c:pt>
                <c:pt idx="39">
                  <c:v>0.48921296296296302</c:v>
                </c:pt>
                <c:pt idx="40">
                  <c:v>0.49200231481481477</c:v>
                </c:pt>
                <c:pt idx="41">
                  <c:v>0.49596064814814822</c:v>
                </c:pt>
                <c:pt idx="42">
                  <c:v>0.5020486111111111</c:v>
                </c:pt>
                <c:pt idx="43">
                  <c:v>0.50429398148148141</c:v>
                </c:pt>
                <c:pt idx="44">
                  <c:v>0.50694444444444442</c:v>
                </c:pt>
                <c:pt idx="45">
                  <c:v>0.50979166666666664</c:v>
                </c:pt>
                <c:pt idx="46">
                  <c:v>0.51312500000000005</c:v>
                </c:pt>
                <c:pt idx="47">
                  <c:v>0.51583333333333337</c:v>
                </c:pt>
                <c:pt idx="48">
                  <c:v>0.5186574074074074</c:v>
                </c:pt>
                <c:pt idx="49">
                  <c:v>0.52289351851851851</c:v>
                </c:pt>
                <c:pt idx="50">
                  <c:v>0.5266319444444445</c:v>
                </c:pt>
                <c:pt idx="51">
                  <c:v>0.5304282407407408</c:v>
                </c:pt>
                <c:pt idx="52">
                  <c:v>0.53427083333333336</c:v>
                </c:pt>
                <c:pt idx="53">
                  <c:v>0.53782407407407407</c:v>
                </c:pt>
                <c:pt idx="54">
                  <c:v>0.54214120370370367</c:v>
                </c:pt>
                <c:pt idx="55">
                  <c:v>0.54908564814814809</c:v>
                </c:pt>
                <c:pt idx="56">
                  <c:v>0.55603009259259251</c:v>
                </c:pt>
                <c:pt idx="57">
                  <c:v>0.56297453703703693</c:v>
                </c:pt>
                <c:pt idx="58">
                  <c:v>0.56991898148148135</c:v>
                </c:pt>
                <c:pt idx="59">
                  <c:v>0.57686342592592577</c:v>
                </c:pt>
                <c:pt idx="60">
                  <c:v>0.58380787037037019</c:v>
                </c:pt>
                <c:pt idx="61">
                  <c:v>0.59075231481481461</c:v>
                </c:pt>
                <c:pt idx="62">
                  <c:v>0.59769675925925903</c:v>
                </c:pt>
                <c:pt idx="63">
                  <c:v>0.60464120370370344</c:v>
                </c:pt>
                <c:pt idx="64">
                  <c:v>0.61158564814814786</c:v>
                </c:pt>
                <c:pt idx="65">
                  <c:v>0.61586805555555557</c:v>
                </c:pt>
                <c:pt idx="66">
                  <c:v>0.6221296296296297</c:v>
                </c:pt>
                <c:pt idx="67">
                  <c:v>0.62578703703703698</c:v>
                </c:pt>
                <c:pt idx="68">
                  <c:v>0.63276620370370373</c:v>
                </c:pt>
                <c:pt idx="69">
                  <c:v>0.64174768518518521</c:v>
                </c:pt>
                <c:pt idx="70">
                  <c:v>0.64964120370370371</c:v>
                </c:pt>
                <c:pt idx="71">
                  <c:v>0.65635416666666668</c:v>
                </c:pt>
                <c:pt idx="72">
                  <c:v>0.66506944444444449</c:v>
                </c:pt>
                <c:pt idx="73">
                  <c:v>0.67305555555555563</c:v>
                </c:pt>
                <c:pt idx="74">
                  <c:v>0.68121527777777779</c:v>
                </c:pt>
                <c:pt idx="75">
                  <c:v>0.68913194444444437</c:v>
                </c:pt>
                <c:pt idx="76">
                  <c:v>0.69678240740740738</c:v>
                </c:pt>
                <c:pt idx="77">
                  <c:v>0.70405092592592589</c:v>
                </c:pt>
                <c:pt idx="78">
                  <c:v>0.71417824074074077</c:v>
                </c:pt>
                <c:pt idx="79">
                  <c:v>0.72217592592592594</c:v>
                </c:pt>
                <c:pt idx="80">
                  <c:v>0.7302199074074075</c:v>
                </c:pt>
                <c:pt idx="81">
                  <c:v>0.73829861111111106</c:v>
                </c:pt>
                <c:pt idx="82">
                  <c:v>0.74585648148148143</c:v>
                </c:pt>
                <c:pt idx="83">
                  <c:v>0.75346064814814817</c:v>
                </c:pt>
                <c:pt idx="84">
                  <c:v>0.76090277777777771</c:v>
                </c:pt>
                <c:pt idx="85">
                  <c:v>0.76858796296296295</c:v>
                </c:pt>
                <c:pt idx="86">
                  <c:v>0.77615740740740746</c:v>
                </c:pt>
                <c:pt idx="87">
                  <c:v>0.78365740740740741</c:v>
                </c:pt>
                <c:pt idx="88">
                  <c:v>0.79221064814814812</c:v>
                </c:pt>
                <c:pt idx="89">
                  <c:v>0.79935185185185187</c:v>
                </c:pt>
                <c:pt idx="90">
                  <c:v>0.80649305555555562</c:v>
                </c:pt>
                <c:pt idx="91">
                  <c:v>0.8127199074074074</c:v>
                </c:pt>
                <c:pt idx="92">
                  <c:v>0.8145486111111111</c:v>
                </c:pt>
              </c:numCache>
            </c:numRef>
          </c:xVal>
          <c:yVal>
            <c:numRef>
              <c:f>'Torque data 12h'!$C$4:$C$96</c:f>
              <c:numCache>
                <c:formatCode>General</c:formatCode>
                <c:ptCount val="93"/>
                <c:pt idx="0">
                  <c:v>14.229660682908928</c:v>
                </c:pt>
                <c:pt idx="1">
                  <c:v>14.275156582808762</c:v>
                </c:pt>
                <c:pt idx="2">
                  <c:v>14.843221348889983</c:v>
                </c:pt>
                <c:pt idx="3">
                  <c:v>14.888615859153902</c:v>
                </c:pt>
                <c:pt idx="4">
                  <c:v>15.07011891711997</c:v>
                </c:pt>
                <c:pt idx="5">
                  <c:v>15.115475943132736</c:v>
                </c:pt>
                <c:pt idx="6">
                  <c:v>15.206167519194651</c:v>
                </c:pt>
                <c:pt idx="7">
                  <c:v>15.183497434218737</c:v>
                </c:pt>
                <c:pt idx="8">
                  <c:v>15.342148715259526</c:v>
                </c:pt>
                <c:pt idx="9">
                  <c:v>15.432765417635807</c:v>
                </c:pt>
                <c:pt idx="10">
                  <c:v>15.523352190959997</c:v>
                </c:pt>
                <c:pt idx="11">
                  <c:v>15.591272637032716</c:v>
                </c:pt>
                <c:pt idx="12">
                  <c:v>15.704435997130872</c:v>
                </c:pt>
                <c:pt idx="13">
                  <c:v>15.840170374790944</c:v>
                </c:pt>
                <c:pt idx="14">
                  <c:v>15.953231004202792</c:v>
                </c:pt>
                <c:pt idx="15">
                  <c:v>16.021044983927936</c:v>
                </c:pt>
                <c:pt idx="16">
                  <c:v>16.292133027817357</c:v>
                </c:pt>
                <c:pt idx="17">
                  <c:v>16.450143768027004</c:v>
                </c:pt>
                <c:pt idx="18">
                  <c:v>16.517834717634543</c:v>
                </c:pt>
                <c:pt idx="19">
                  <c:v>16.608063252574055</c:v>
                </c:pt>
                <c:pt idx="20">
                  <c:v>16.698262010168293</c:v>
                </c:pt>
                <c:pt idx="21">
                  <c:v>16.765891544001221</c:v>
                </c:pt>
                <c:pt idx="22">
                  <c:v>16.923628704851126</c:v>
                </c:pt>
                <c:pt idx="23">
                  <c:v>17.058759500487668</c:v>
                </c:pt>
                <c:pt idx="24">
                  <c:v>17.126299820441062</c:v>
                </c:pt>
                <c:pt idx="25">
                  <c:v>17.216327584766248</c:v>
                </c:pt>
                <c:pt idx="26">
                  <c:v>17.283828917682456</c:v>
                </c:pt>
                <c:pt idx="27">
                  <c:v>17.396294029363133</c:v>
                </c:pt>
                <c:pt idx="28">
                  <c:v>17.463750838486618</c:v>
                </c:pt>
                <c:pt idx="29">
                  <c:v>17.553667293329994</c:v>
                </c:pt>
                <c:pt idx="30">
                  <c:v>17.710949739432664</c:v>
                </c:pt>
                <c:pt idx="31">
                  <c:v>17.778328716159962</c:v>
                </c:pt>
                <c:pt idx="32">
                  <c:v>17.845691028465694</c:v>
                </c:pt>
                <c:pt idx="33">
                  <c:v>17.935481530948977</c:v>
                </c:pt>
                <c:pt idx="34">
                  <c:v>18.002804978749992</c:v>
                </c:pt>
                <c:pt idx="35">
                  <c:v>18.070111778539996</c:v>
                </c:pt>
                <c:pt idx="36">
                  <c:v>18.15982828986327</c:v>
                </c:pt>
                <c:pt idx="37">
                  <c:v>18.227096263439989</c:v>
                </c:pt>
                <c:pt idx="38">
                  <c:v>18.316761024348153</c:v>
                </c:pt>
                <c:pt idx="39">
                  <c:v>18.428800414260508</c:v>
                </c:pt>
                <c:pt idx="40">
                  <c:v>18.518398691434612</c:v>
                </c:pt>
                <c:pt idx="41">
                  <c:v>18.585578020032614</c:v>
                </c:pt>
                <c:pt idx="42">
                  <c:v>18.675124628480006</c:v>
                </c:pt>
                <c:pt idx="43">
                  <c:v>18.787016393458742</c:v>
                </c:pt>
                <c:pt idx="44">
                  <c:v>18.943587446856327</c:v>
                </c:pt>
                <c:pt idx="45">
                  <c:v>18.943587446856327</c:v>
                </c:pt>
                <c:pt idx="46">
                  <c:v>18.965947370257226</c:v>
                </c:pt>
                <c:pt idx="47">
                  <c:v>19.033016089559027</c:v>
                </c:pt>
                <c:pt idx="48">
                  <c:v>19.100068236338586</c:v>
                </c:pt>
                <c:pt idx="49">
                  <c:v>19.122415270000005</c:v>
                </c:pt>
                <c:pt idx="50">
                  <c:v>19.278792977304761</c:v>
                </c:pt>
                <c:pt idx="51">
                  <c:v>19.345784400289972</c:v>
                </c:pt>
                <c:pt idx="52">
                  <c:v>19.435080554714148</c:v>
                </c:pt>
                <c:pt idx="53">
                  <c:v>19.568969646719978</c:v>
                </c:pt>
                <c:pt idx="54">
                  <c:v>19.881120414012543</c:v>
                </c:pt>
                <c:pt idx="55">
                  <c:v>19.925684017699837</c:v>
                </c:pt>
                <c:pt idx="56">
                  <c:v>20.103865083125726</c:v>
                </c:pt>
                <c:pt idx="57">
                  <c:v>20.393159200696289</c:v>
                </c:pt>
                <c:pt idx="58">
                  <c:v>20.57103258187874</c:v>
                </c:pt>
                <c:pt idx="59">
                  <c:v>20.83762322563885</c:v>
                </c:pt>
                <c:pt idx="60">
                  <c:v>21.126132940209999</c:v>
                </c:pt>
                <c:pt idx="61">
                  <c:v>21.414334356294518</c:v>
                </c:pt>
                <c:pt idx="62">
                  <c:v>21.724360788060068</c:v>
                </c:pt>
                <c:pt idx="63">
                  <c:v>21.989813895407679</c:v>
                </c:pt>
                <c:pt idx="64">
                  <c:v>22.277092819638341</c:v>
                </c:pt>
                <c:pt idx="65">
                  <c:v>22.542001140506926</c:v>
                </c:pt>
                <c:pt idx="66">
                  <c:v>22.784604468703748</c:v>
                </c:pt>
                <c:pt idx="67">
                  <c:v>23.026988717216653</c:v>
                </c:pt>
                <c:pt idx="68">
                  <c:v>23.115074174079979</c:v>
                </c:pt>
                <c:pt idx="69">
                  <c:v>23.159106054737521</c:v>
                </c:pt>
                <c:pt idx="70">
                  <c:v>22.960905635220598</c:v>
                </c:pt>
                <c:pt idx="71">
                  <c:v>23.115074174079979</c:v>
                </c:pt>
                <c:pt idx="72">
                  <c:v>23.115074174079979</c:v>
                </c:pt>
                <c:pt idx="73">
                  <c:v>23.467126863703044</c:v>
                </c:pt>
                <c:pt idx="74">
                  <c:v>23.445137115276253</c:v>
                </c:pt>
                <c:pt idx="75">
                  <c:v>23.467126863703044</c:v>
                </c:pt>
                <c:pt idx="76">
                  <c:v>23.642979889192929</c:v>
                </c:pt>
                <c:pt idx="77">
                  <c:v>23.664953399873752</c:v>
                </c:pt>
                <c:pt idx="78">
                  <c:v>23.686925107272231</c:v>
                </c:pt>
                <c:pt idx="79">
                  <c:v>23.730863112951681</c:v>
                </c:pt>
                <c:pt idx="80">
                  <c:v>23.862633870178144</c:v>
                </c:pt>
                <c:pt idx="81">
                  <c:v>23.994339768319975</c:v>
                </c:pt>
                <c:pt idx="82">
                  <c:v>24.082107687039354</c:v>
                </c:pt>
                <c:pt idx="83">
                  <c:v>24.169846808673242</c:v>
                </c:pt>
                <c:pt idx="84">
                  <c:v>24.279480232592419</c:v>
                </c:pt>
                <c:pt idx="85">
                  <c:v>24.43289150775999</c:v>
                </c:pt>
                <c:pt idx="86">
                  <c:v>24.54241707936373</c:v>
                </c:pt>
                <c:pt idx="87">
                  <c:v>24.564316804989033</c:v>
                </c:pt>
                <c:pt idx="88">
                  <c:v>24.630005207756113</c:v>
                </c:pt>
                <c:pt idx="89">
                  <c:v>24.651897751250004</c:v>
                </c:pt>
                <c:pt idx="90">
                  <c:v>24.826973491745662</c:v>
                </c:pt>
                <c:pt idx="91">
                  <c:v>24.761333546211233</c:v>
                </c:pt>
                <c:pt idx="92">
                  <c:v>24.761333546211233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2-4CD9-8867-82EFF2B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554335"/>
        <c:axId val="1001476575"/>
      </c:scatterChart>
      <c:valAx>
        <c:axId val="832554335"/>
        <c:scaling>
          <c:orientation val="minMax"/>
          <c:max val="0.82000000000000006"/>
          <c:min val="0.34000000000000008"/>
        </c:scaling>
        <c:delete val="0"/>
        <c:axPos val="b"/>
        <c:numFmt formatCode="[$-409]h:mm\ AM/PM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01476575"/>
        <c:crosses val="autoZero"/>
        <c:crossBetween val="midCat"/>
        <c:majorUnit val="1.2000000000000002E-2"/>
      </c:valAx>
      <c:valAx>
        <c:axId val="1001476575"/>
        <c:scaling>
          <c:orientation val="minMax"/>
          <c:max val="25"/>
          <c:min val="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Temperature (ºC)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32554335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'Torque data 12h'!$K$3</c:f>
              <c:strCache>
                <c:ptCount val="1"/>
                <c:pt idx="0">
                  <c:v>Torque 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'Torque data 12h'!$L$3:$L$96</c:f>
              <c:strCache>
                <c:ptCount val="94"/>
                <c:pt idx="0">
                  <c:v>Time</c:v>
                </c:pt>
                <c:pt idx="1">
                  <c:v>09:15:11</c:v>
                </c:pt>
                <c:pt idx="2">
                  <c:v>09:21:18</c:v>
                </c:pt>
                <c:pt idx="3">
                  <c:v>09:28:20</c:v>
                </c:pt>
                <c:pt idx="4">
                  <c:v>09:31:59</c:v>
                </c:pt>
                <c:pt idx="5">
                  <c:v>09:38:26</c:v>
                </c:pt>
                <c:pt idx="6">
                  <c:v>09:44:55</c:v>
                </c:pt>
                <c:pt idx="7">
                  <c:v>09:52:59</c:v>
                </c:pt>
                <c:pt idx="8">
                  <c:v>09:56:56</c:v>
                </c:pt>
                <c:pt idx="9">
                  <c:v>10:03:13</c:v>
                </c:pt>
                <c:pt idx="10">
                  <c:v>10:07:03</c:v>
                </c:pt>
                <c:pt idx="11">
                  <c:v>10:11:46</c:v>
                </c:pt>
                <c:pt idx="12">
                  <c:v>10:16:22</c:v>
                </c:pt>
                <c:pt idx="13">
                  <c:v>10:20:22</c:v>
                </c:pt>
                <c:pt idx="14">
                  <c:v>10:26:21</c:v>
                </c:pt>
                <c:pt idx="15">
                  <c:v>10:30:25</c:v>
                </c:pt>
                <c:pt idx="16">
                  <c:v>10:42:42</c:v>
                </c:pt>
                <c:pt idx="17">
                  <c:v>10:49:33</c:v>
                </c:pt>
                <c:pt idx="18">
                  <c:v>10:56:05</c:v>
                </c:pt>
                <c:pt idx="19">
                  <c:v>11:01:11</c:v>
                </c:pt>
                <c:pt idx="20">
                  <c:v>11:07:30</c:v>
                </c:pt>
                <c:pt idx="21">
                  <c:v>11:15:08</c:v>
                </c:pt>
                <c:pt idx="22">
                  <c:v>11:20:43</c:v>
                </c:pt>
                <c:pt idx="23">
                  <c:v>11:26:35</c:v>
                </c:pt>
                <c:pt idx="24">
                  <c:v>11:30:37</c:v>
                </c:pt>
                <c:pt idx="25">
                  <c:v>11:37:12</c:v>
                </c:pt>
                <c:pt idx="26">
                  <c:v>11:41:10</c:v>
                </c:pt>
                <c:pt idx="27">
                  <c:v>11:45:08</c:v>
                </c:pt>
                <c:pt idx="28">
                  <c:v>11:52:15</c:v>
                </c:pt>
                <c:pt idx="29">
                  <c:v>11:58:00</c:v>
                </c:pt>
                <c:pt idx="30">
                  <c:v>12:03:57</c:v>
                </c:pt>
                <c:pt idx="31">
                  <c:v>12:07:57</c:v>
                </c:pt>
                <c:pt idx="32">
                  <c:v>12:11:57</c:v>
                </c:pt>
                <c:pt idx="33">
                  <c:v>12:15:57</c:v>
                </c:pt>
                <c:pt idx="34">
                  <c:v>12:19:57</c:v>
                </c:pt>
                <c:pt idx="35">
                  <c:v>12:23:57</c:v>
                </c:pt>
                <c:pt idx="36">
                  <c:v>12:27:57</c:v>
                </c:pt>
                <c:pt idx="37">
                  <c:v>12:31:57</c:v>
                </c:pt>
                <c:pt idx="38">
                  <c:v>12:35:57</c:v>
                </c:pt>
                <c:pt idx="39">
                  <c:v>12:39:57</c:v>
                </c:pt>
                <c:pt idx="40">
                  <c:v>12:44:28</c:v>
                </c:pt>
                <c:pt idx="41">
                  <c:v>12:48:29</c:v>
                </c:pt>
                <c:pt idx="42">
                  <c:v>12:54:11</c:v>
                </c:pt>
                <c:pt idx="43">
                  <c:v>13:02:57</c:v>
                </c:pt>
                <c:pt idx="44">
                  <c:v>13:06:11</c:v>
                </c:pt>
                <c:pt idx="45">
                  <c:v>13:10:00</c:v>
                </c:pt>
                <c:pt idx="46">
                  <c:v>13:14:06</c:v>
                </c:pt>
                <c:pt idx="47">
                  <c:v>13:18:54</c:v>
                </c:pt>
                <c:pt idx="48">
                  <c:v>13:22:48</c:v>
                </c:pt>
                <c:pt idx="49">
                  <c:v>13:26:52</c:v>
                </c:pt>
                <c:pt idx="50">
                  <c:v>13:32:58</c:v>
                </c:pt>
                <c:pt idx="51">
                  <c:v>13:38:21</c:v>
                </c:pt>
                <c:pt idx="52">
                  <c:v>13:43:49</c:v>
                </c:pt>
                <c:pt idx="53">
                  <c:v>13:49:21</c:v>
                </c:pt>
                <c:pt idx="54">
                  <c:v>13:54:28</c:v>
                </c:pt>
                <c:pt idx="55">
                  <c:v>14:00:41</c:v>
                </c:pt>
                <c:pt idx="56">
                  <c:v>14:10:41</c:v>
                </c:pt>
                <c:pt idx="57">
                  <c:v>14:20:41</c:v>
                </c:pt>
                <c:pt idx="58">
                  <c:v>14:30:41</c:v>
                </c:pt>
                <c:pt idx="59">
                  <c:v>14:40:41</c:v>
                </c:pt>
                <c:pt idx="60">
                  <c:v>14:50:41</c:v>
                </c:pt>
                <c:pt idx="61">
                  <c:v>15:00:41</c:v>
                </c:pt>
                <c:pt idx="62">
                  <c:v>15:10:41</c:v>
                </c:pt>
                <c:pt idx="63">
                  <c:v>15:20:41</c:v>
                </c:pt>
                <c:pt idx="64">
                  <c:v>15:30:41</c:v>
                </c:pt>
                <c:pt idx="65">
                  <c:v>15:40:41</c:v>
                </c:pt>
                <c:pt idx="66">
                  <c:v>15:46:51</c:v>
                </c:pt>
                <c:pt idx="67">
                  <c:v>15:55:52</c:v>
                </c:pt>
                <c:pt idx="68">
                  <c:v>16:01:08</c:v>
                </c:pt>
                <c:pt idx="69">
                  <c:v>16:11:11</c:v>
                </c:pt>
                <c:pt idx="70">
                  <c:v>16:24:07</c:v>
                </c:pt>
                <c:pt idx="71">
                  <c:v>16:35:29</c:v>
                </c:pt>
                <c:pt idx="72">
                  <c:v>16:45:09</c:v>
                </c:pt>
                <c:pt idx="73">
                  <c:v>16:57:42</c:v>
                </c:pt>
                <c:pt idx="74">
                  <c:v>17:09:12</c:v>
                </c:pt>
                <c:pt idx="75">
                  <c:v>17:20:57</c:v>
                </c:pt>
                <c:pt idx="76">
                  <c:v>17:32:21</c:v>
                </c:pt>
                <c:pt idx="77">
                  <c:v>17:43:22</c:v>
                </c:pt>
                <c:pt idx="78">
                  <c:v>17:53:50</c:v>
                </c:pt>
                <c:pt idx="79">
                  <c:v>18:08:25</c:v>
                </c:pt>
                <c:pt idx="80">
                  <c:v>18:19:56</c:v>
                </c:pt>
                <c:pt idx="81">
                  <c:v>18:31:31</c:v>
                </c:pt>
                <c:pt idx="82">
                  <c:v>18:43:09</c:v>
                </c:pt>
                <c:pt idx="83">
                  <c:v>18:54:02</c:v>
                </c:pt>
                <c:pt idx="84">
                  <c:v>19:04:59</c:v>
                </c:pt>
                <c:pt idx="85">
                  <c:v>19:15:42</c:v>
                </c:pt>
                <c:pt idx="86">
                  <c:v>19:26:46</c:v>
                </c:pt>
                <c:pt idx="87">
                  <c:v>19:37:40</c:v>
                </c:pt>
                <c:pt idx="88">
                  <c:v>19:48:28</c:v>
                </c:pt>
                <c:pt idx="89">
                  <c:v>20:00:47</c:v>
                </c:pt>
                <c:pt idx="90">
                  <c:v>20:11:04</c:v>
                </c:pt>
                <c:pt idx="91">
                  <c:v>20:21:21</c:v>
                </c:pt>
                <c:pt idx="92">
                  <c:v>20:30:19</c:v>
                </c:pt>
                <c:pt idx="93">
                  <c:v>20:32:57</c:v>
                </c:pt>
              </c:strCache>
            </c:strRef>
          </c:cat>
          <c:val>
            <c:numRef>
              <c:f>'Torque data 12h'!$K$4:$K$96</c:f>
              <c:numCache>
                <c:formatCode>General</c:formatCode>
                <c:ptCount val="93"/>
                <c:pt idx="0">
                  <c:v>20.5</c:v>
                </c:pt>
                <c:pt idx="1">
                  <c:v>20.5</c:v>
                </c:pt>
                <c:pt idx="2">
                  <c:v>21.25</c:v>
                </c:pt>
                <c:pt idx="3">
                  <c:v>20.75</c:v>
                </c:pt>
                <c:pt idx="4">
                  <c:v>20</c:v>
                </c:pt>
                <c:pt idx="5">
                  <c:v>20.8</c:v>
                </c:pt>
                <c:pt idx="6">
                  <c:v>20.5</c:v>
                </c:pt>
                <c:pt idx="7">
                  <c:v>20</c:v>
                </c:pt>
                <c:pt idx="8">
                  <c:v>20.149999999999999</c:v>
                </c:pt>
                <c:pt idx="9">
                  <c:v>20.350000000000001</c:v>
                </c:pt>
                <c:pt idx="10">
                  <c:v>20.75</c:v>
                </c:pt>
                <c:pt idx="11">
                  <c:v>20.8</c:v>
                </c:pt>
                <c:pt idx="12">
                  <c:v>20.75</c:v>
                </c:pt>
                <c:pt idx="13">
                  <c:v>20.700000000000003</c:v>
                </c:pt>
                <c:pt idx="14">
                  <c:v>20.8</c:v>
                </c:pt>
                <c:pt idx="15">
                  <c:v>20.75</c:v>
                </c:pt>
                <c:pt idx="16">
                  <c:v>20.8</c:v>
                </c:pt>
                <c:pt idx="17">
                  <c:v>20.5</c:v>
                </c:pt>
                <c:pt idx="18">
                  <c:v>20.6</c:v>
                </c:pt>
                <c:pt idx="19">
                  <c:v>20.6</c:v>
                </c:pt>
                <c:pt idx="20">
                  <c:v>21</c:v>
                </c:pt>
                <c:pt idx="21">
                  <c:v>20.85</c:v>
                </c:pt>
                <c:pt idx="22">
                  <c:v>20.350000000000001</c:v>
                </c:pt>
                <c:pt idx="23">
                  <c:v>20.65</c:v>
                </c:pt>
                <c:pt idx="24">
                  <c:v>20.85</c:v>
                </c:pt>
                <c:pt idx="25">
                  <c:v>20.85</c:v>
                </c:pt>
                <c:pt idx="26">
                  <c:v>20.8</c:v>
                </c:pt>
                <c:pt idx="27">
                  <c:v>20.55</c:v>
                </c:pt>
                <c:pt idx="28">
                  <c:v>20.85</c:v>
                </c:pt>
                <c:pt idx="29">
                  <c:v>20.9</c:v>
                </c:pt>
                <c:pt idx="30">
                  <c:v>20.799999999999997</c:v>
                </c:pt>
                <c:pt idx="31">
                  <c:v>20.7</c:v>
                </c:pt>
                <c:pt idx="32">
                  <c:v>20.25</c:v>
                </c:pt>
                <c:pt idx="33">
                  <c:v>20.5</c:v>
                </c:pt>
                <c:pt idx="34">
                  <c:v>20.75</c:v>
                </c:pt>
                <c:pt idx="35">
                  <c:v>20.549999999999997</c:v>
                </c:pt>
                <c:pt idx="36">
                  <c:v>20.6</c:v>
                </c:pt>
                <c:pt idx="37">
                  <c:v>20.8</c:v>
                </c:pt>
                <c:pt idx="38">
                  <c:v>20.65</c:v>
                </c:pt>
                <c:pt idx="39">
                  <c:v>20.700000000000003</c:v>
                </c:pt>
                <c:pt idx="40">
                  <c:v>20.5</c:v>
                </c:pt>
                <c:pt idx="41">
                  <c:v>20.85</c:v>
                </c:pt>
                <c:pt idx="42">
                  <c:v>20.5</c:v>
                </c:pt>
                <c:pt idx="43">
                  <c:v>20.399999999999999</c:v>
                </c:pt>
                <c:pt idx="44">
                  <c:v>20.25</c:v>
                </c:pt>
                <c:pt idx="45">
                  <c:v>20.2</c:v>
                </c:pt>
                <c:pt idx="46">
                  <c:v>20.350000000000001</c:v>
                </c:pt>
                <c:pt idx="47">
                  <c:v>20.6</c:v>
                </c:pt>
                <c:pt idx="48">
                  <c:v>20.75</c:v>
                </c:pt>
                <c:pt idx="49">
                  <c:v>21</c:v>
                </c:pt>
                <c:pt idx="50">
                  <c:v>21.35</c:v>
                </c:pt>
                <c:pt idx="51">
                  <c:v>20.8</c:v>
                </c:pt>
                <c:pt idx="52">
                  <c:v>25.3</c:v>
                </c:pt>
                <c:pt idx="53">
                  <c:v>26.95</c:v>
                </c:pt>
                <c:pt idx="54">
                  <c:v>28.2</c:v>
                </c:pt>
                <c:pt idx="55">
                  <c:v>27.3</c:v>
                </c:pt>
                <c:pt idx="56">
                  <c:v>26.85</c:v>
                </c:pt>
                <c:pt idx="57">
                  <c:v>26.4</c:v>
                </c:pt>
                <c:pt idx="58">
                  <c:v>26.75</c:v>
                </c:pt>
                <c:pt idx="59">
                  <c:v>26.95</c:v>
                </c:pt>
                <c:pt idx="60">
                  <c:v>27</c:v>
                </c:pt>
                <c:pt idx="61">
                  <c:v>27.1</c:v>
                </c:pt>
                <c:pt idx="62">
                  <c:v>27.049999999999997</c:v>
                </c:pt>
                <c:pt idx="63">
                  <c:v>27.5</c:v>
                </c:pt>
                <c:pt idx="64">
                  <c:v>28.15</c:v>
                </c:pt>
                <c:pt idx="65">
                  <c:v>28.65</c:v>
                </c:pt>
                <c:pt idx="66">
                  <c:v>21.1</c:v>
                </c:pt>
                <c:pt idx="67">
                  <c:v>21.35</c:v>
                </c:pt>
                <c:pt idx="68">
                  <c:v>20.8</c:v>
                </c:pt>
                <c:pt idx="69">
                  <c:v>21.05</c:v>
                </c:pt>
                <c:pt idx="70">
                  <c:v>20.950000000000003</c:v>
                </c:pt>
                <c:pt idx="71">
                  <c:v>21.15</c:v>
                </c:pt>
                <c:pt idx="72">
                  <c:v>20.75</c:v>
                </c:pt>
                <c:pt idx="73">
                  <c:v>20.85</c:v>
                </c:pt>
                <c:pt idx="74">
                  <c:v>20.299999999999997</c:v>
                </c:pt>
                <c:pt idx="75">
                  <c:v>20.55</c:v>
                </c:pt>
                <c:pt idx="76">
                  <c:v>21.15</c:v>
                </c:pt>
                <c:pt idx="77">
                  <c:v>20.049999999999997</c:v>
                </c:pt>
                <c:pt idx="78">
                  <c:v>20.350000000000001</c:v>
                </c:pt>
                <c:pt idx="79">
                  <c:v>19.55</c:v>
                </c:pt>
                <c:pt idx="80">
                  <c:v>19.95</c:v>
                </c:pt>
                <c:pt idx="81">
                  <c:v>19.95</c:v>
                </c:pt>
                <c:pt idx="82">
                  <c:v>20.7</c:v>
                </c:pt>
                <c:pt idx="83">
                  <c:v>19.75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20.700000000000003</c:v>
                </c:pt>
                <c:pt idx="87">
                  <c:v>20.299999999999997</c:v>
                </c:pt>
                <c:pt idx="88">
                  <c:v>20.399999999999999</c:v>
                </c:pt>
                <c:pt idx="89">
                  <c:v>20</c:v>
                </c:pt>
                <c:pt idx="90">
                  <c:v>19.850000000000001</c:v>
                </c:pt>
                <c:pt idx="91">
                  <c:v>19.5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9-BE4F-B393-86F2925E7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4203920"/>
        <c:axId val="1861155520"/>
      </c:lineChart>
      <c:catAx>
        <c:axId val="187420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61155520"/>
        <c:crosses val="autoZero"/>
        <c:auto val="1"/>
        <c:lblAlgn val="ctr"/>
        <c:lblOffset val="100"/>
        <c:noMultiLvlLbl val="0"/>
      </c:catAx>
      <c:valAx>
        <c:axId val="18611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7420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F6337B-22E5-45F5-B8EE-CFD463ED44C0}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410944-43D1-4F48-8948-FEB108892A6F}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94EF752-92D6-4294-8FA9-A0F2E14CF1A3}">
  <sheetPr/>
  <sheetViews>
    <sheetView zoomScale="66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20161" cy="608371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2F5A3B0-854B-4772-B12A-B55BDFF1BEA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0.17655</cdr:x>
      <cdr:y>0.56003</cdr:y>
    </cdr:from>
    <cdr:to>
      <cdr:x>0.402</cdr:x>
      <cdr:y>0.60385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BE08F3D-C94A-4B1B-8782-979D680063CD}"/>
            </a:ext>
          </a:extLst>
        </cdr:cNvPr>
        <cdr:cNvSpPr txBox="1"/>
      </cdr:nvSpPr>
      <cdr:spPr>
        <a:xfrm xmlns:a="http://schemas.openxmlformats.org/drawingml/2006/main">
          <a:off x="1640336" y="3385926"/>
          <a:ext cx="2094636" cy="2649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>
            <a:lumMod val="60000"/>
            <a:lumOff val="4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b="1"/>
            <a:t>Low Main BearingTemperature </a:t>
          </a:r>
        </a:p>
      </cdr:txBody>
    </cdr:sp>
  </cdr:relSizeAnchor>
  <cdr:relSizeAnchor xmlns:cdr="http://schemas.openxmlformats.org/drawingml/2006/chartDrawing">
    <cdr:from>
      <cdr:x>0.62935</cdr:x>
      <cdr:y>0.10535</cdr:y>
    </cdr:from>
    <cdr:to>
      <cdr:x>0.63022</cdr:x>
      <cdr:y>0.96982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id="{1D562BD2-2021-404A-9BF4-0B28B8BB9C10}"/>
            </a:ext>
          </a:extLst>
        </cdr:cNvPr>
        <cdr:cNvCxnSpPr/>
      </cdr:nvCxnSpPr>
      <cdr:spPr>
        <a:xfrm xmlns:a="http://schemas.openxmlformats.org/drawingml/2006/main">
          <a:off x="5847210" y="636953"/>
          <a:ext cx="8141" cy="5226538"/>
        </a:xfrm>
        <a:prstGeom xmlns:a="http://schemas.openxmlformats.org/drawingml/2006/main" prst="line">
          <a:avLst/>
        </a:prstGeom>
        <a:ln xmlns:a="http://schemas.openxmlformats.org/drawingml/2006/main" w="38100"/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0.63198</cdr:x>
      <cdr:y>0.648</cdr:y>
    </cdr:from>
    <cdr:to>
      <cdr:x>0.99277</cdr:x>
      <cdr:y>0.69182</cdr:y>
    </cdr:to>
    <cdr:sp macro="" textlink="">
      <cdr:nvSpPr>
        <cdr:cNvPr id="4" name="CuadroTexto 1">
          <a:extLst xmlns:a="http://schemas.openxmlformats.org/drawingml/2006/main">
            <a:ext uri="{FF2B5EF4-FFF2-40B4-BE49-F238E27FC236}">
              <a16:creationId xmlns:a16="http://schemas.microsoft.com/office/drawing/2014/main" id="{B3BE9DB6-1814-4F90-AF15-7684B1C19C27}"/>
            </a:ext>
          </a:extLst>
        </cdr:cNvPr>
        <cdr:cNvSpPr txBox="1"/>
      </cdr:nvSpPr>
      <cdr:spPr>
        <a:xfrm xmlns:a="http://schemas.openxmlformats.org/drawingml/2006/main">
          <a:off x="5871634" y="3917787"/>
          <a:ext cx="3352148" cy="26493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b="1">
              <a:solidFill>
                <a:schemeClr val="accent6">
                  <a:lumMod val="75000"/>
                </a:schemeClr>
              </a:solidFill>
            </a:rPr>
            <a:t>Driver</a:t>
          </a:r>
          <a:r>
            <a:rPr lang="es-ES" sz="1100" b="1" baseline="0">
              <a:solidFill>
                <a:schemeClr val="accent6">
                  <a:lumMod val="75000"/>
                </a:schemeClr>
              </a:solidFill>
            </a:rPr>
            <a:t> off - Motor stops but continue movement inmediately</a:t>
          </a:r>
          <a:endParaRPr lang="es-ES" sz="1100" b="1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20161" cy="608371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6E22302-ADC3-478E-8535-7C82B2B40C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0.13582</cdr:x>
      <cdr:y>0.49243</cdr:y>
    </cdr:from>
    <cdr:to>
      <cdr:x>0.3722</cdr:x>
      <cdr:y>0.53625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BE08F3D-C94A-4B1B-8782-979D680063CD}"/>
            </a:ext>
          </a:extLst>
        </cdr:cNvPr>
        <cdr:cNvSpPr txBox="1"/>
      </cdr:nvSpPr>
      <cdr:spPr>
        <a:xfrm xmlns:a="http://schemas.openxmlformats.org/drawingml/2006/main">
          <a:off x="1261876" y="2977187"/>
          <a:ext cx="2196185" cy="2649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b="1"/>
            <a:t>High Main BearingTemperature </a:t>
          </a:r>
        </a:p>
      </cdr:txBody>
    </cdr:sp>
  </cdr:relSizeAnchor>
  <cdr:relSizeAnchor xmlns:cdr="http://schemas.openxmlformats.org/drawingml/2006/chartDrawing">
    <cdr:from>
      <cdr:x>0.62935</cdr:x>
      <cdr:y>0.10535</cdr:y>
    </cdr:from>
    <cdr:to>
      <cdr:x>0.63022</cdr:x>
      <cdr:y>0.96982</cdr:y>
    </cdr:to>
    <cdr:cxnSp macro="">
      <cdr:nvCxnSpPr>
        <cdr:cNvPr id="5" name="Conector recto 4">
          <a:extLst xmlns:a="http://schemas.openxmlformats.org/drawingml/2006/main">
            <a:ext uri="{FF2B5EF4-FFF2-40B4-BE49-F238E27FC236}">
              <a16:creationId xmlns:a16="http://schemas.microsoft.com/office/drawing/2014/main" id="{1D562BD2-2021-404A-9BF4-0B28B8BB9C10}"/>
            </a:ext>
          </a:extLst>
        </cdr:cNvPr>
        <cdr:cNvCxnSpPr/>
      </cdr:nvCxnSpPr>
      <cdr:spPr>
        <a:xfrm xmlns:a="http://schemas.openxmlformats.org/drawingml/2006/main">
          <a:off x="5847210" y="636953"/>
          <a:ext cx="8141" cy="5226538"/>
        </a:xfrm>
        <a:prstGeom xmlns:a="http://schemas.openxmlformats.org/drawingml/2006/main" prst="line">
          <a:avLst/>
        </a:prstGeom>
        <a:ln xmlns:a="http://schemas.openxmlformats.org/drawingml/2006/main" w="38100"/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0.6392</cdr:x>
      <cdr:y>0.60357</cdr:y>
    </cdr:from>
    <cdr:to>
      <cdr:x>1</cdr:x>
      <cdr:y>0.64739</cdr:y>
    </cdr:to>
    <cdr:sp macro="" textlink="">
      <cdr:nvSpPr>
        <cdr:cNvPr id="6" name="CuadroTexto 1">
          <a:extLst xmlns:a="http://schemas.openxmlformats.org/drawingml/2006/main">
            <a:ext uri="{FF2B5EF4-FFF2-40B4-BE49-F238E27FC236}">
              <a16:creationId xmlns:a16="http://schemas.microsoft.com/office/drawing/2014/main" id="{35B0DE47-1F73-4010-AAFD-ACFE0E5B55D7}"/>
            </a:ext>
          </a:extLst>
        </cdr:cNvPr>
        <cdr:cNvSpPr txBox="1"/>
      </cdr:nvSpPr>
      <cdr:spPr>
        <a:xfrm xmlns:a="http://schemas.openxmlformats.org/drawingml/2006/main">
          <a:off x="5938763" y="3649133"/>
          <a:ext cx="3352148" cy="26493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b="1">
              <a:solidFill>
                <a:schemeClr val="accent6">
                  <a:lumMod val="75000"/>
                </a:schemeClr>
              </a:solidFill>
            </a:rPr>
            <a:t>Driver</a:t>
          </a:r>
          <a:r>
            <a:rPr lang="es-ES" sz="1100" b="1" baseline="0">
              <a:solidFill>
                <a:schemeClr val="accent6">
                  <a:lumMod val="75000"/>
                </a:schemeClr>
              </a:solidFill>
            </a:rPr>
            <a:t> off - Motor stops but continue movement inmediately</a:t>
          </a:r>
          <a:endParaRPr lang="es-ES" sz="1100" b="1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20161" cy="608371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EEB003-F102-4D13-944B-80DA273DE4E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0.22081</cdr:x>
      <cdr:y>0.47896</cdr:y>
    </cdr:from>
    <cdr:to>
      <cdr:x>0.41513</cdr:x>
      <cdr:y>0.52278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BE08F3D-C94A-4B1B-8782-979D680063CD}"/>
            </a:ext>
          </a:extLst>
        </cdr:cNvPr>
        <cdr:cNvSpPr txBox="1"/>
      </cdr:nvSpPr>
      <cdr:spPr>
        <a:xfrm xmlns:a="http://schemas.openxmlformats.org/drawingml/2006/main">
          <a:off x="2051555" y="2895777"/>
          <a:ext cx="1805410" cy="2649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b="1"/>
            <a:t>Torque Motor Temperature </a:t>
          </a:r>
        </a:p>
      </cdr:txBody>
    </cdr:sp>
  </cdr:relSizeAnchor>
  <cdr:relSizeAnchor xmlns:cdr="http://schemas.openxmlformats.org/drawingml/2006/chartDrawing">
    <cdr:from>
      <cdr:x>0.63001</cdr:x>
      <cdr:y>0.10638</cdr:y>
    </cdr:from>
    <cdr:to>
      <cdr:x>0.63089</cdr:x>
      <cdr:y>0.97084</cdr:y>
    </cdr:to>
    <cdr:cxnSp macro="">
      <cdr:nvCxnSpPr>
        <cdr:cNvPr id="4" name="Conector recto 3">
          <a:extLst xmlns:a="http://schemas.openxmlformats.org/drawingml/2006/main">
            <a:ext uri="{FF2B5EF4-FFF2-40B4-BE49-F238E27FC236}">
              <a16:creationId xmlns:a16="http://schemas.microsoft.com/office/drawing/2014/main" id="{78B35C25-F123-4599-A573-994651DE76EA}"/>
            </a:ext>
          </a:extLst>
        </cdr:cNvPr>
        <cdr:cNvCxnSpPr/>
      </cdr:nvCxnSpPr>
      <cdr:spPr>
        <a:xfrm xmlns:a="http://schemas.openxmlformats.org/drawingml/2006/main">
          <a:off x="5853397" y="643141"/>
          <a:ext cx="8141" cy="5226538"/>
        </a:xfrm>
        <a:prstGeom xmlns:a="http://schemas.openxmlformats.org/drawingml/2006/main" prst="line">
          <a:avLst/>
        </a:prstGeom>
        <a:ln xmlns:a="http://schemas.openxmlformats.org/drawingml/2006/main" w="38100"/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0.6392</cdr:x>
      <cdr:y>0.57125</cdr:y>
    </cdr:from>
    <cdr:to>
      <cdr:x>1</cdr:x>
      <cdr:y>0.61507</cdr:y>
    </cdr:to>
    <cdr:sp macro="" textlink="">
      <cdr:nvSpPr>
        <cdr:cNvPr id="6" name="CuadroTexto 1">
          <a:extLst xmlns:a="http://schemas.openxmlformats.org/drawingml/2006/main">
            <a:ext uri="{FF2B5EF4-FFF2-40B4-BE49-F238E27FC236}">
              <a16:creationId xmlns:a16="http://schemas.microsoft.com/office/drawing/2014/main" id="{35B0DE47-1F73-4010-AAFD-ACFE0E5B55D7}"/>
            </a:ext>
          </a:extLst>
        </cdr:cNvPr>
        <cdr:cNvSpPr txBox="1"/>
      </cdr:nvSpPr>
      <cdr:spPr>
        <a:xfrm xmlns:a="http://schemas.openxmlformats.org/drawingml/2006/main">
          <a:off x="5938763" y="3453749"/>
          <a:ext cx="3352148" cy="26493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b="1">
              <a:solidFill>
                <a:schemeClr val="accent6">
                  <a:lumMod val="75000"/>
                </a:schemeClr>
              </a:solidFill>
            </a:rPr>
            <a:t>Driver</a:t>
          </a:r>
          <a:r>
            <a:rPr lang="es-ES" sz="1100" b="1" baseline="0">
              <a:solidFill>
                <a:schemeClr val="accent6">
                  <a:lumMod val="75000"/>
                </a:schemeClr>
              </a:solidFill>
            </a:rPr>
            <a:t> off - Motor stops but continue movement inmediately</a:t>
          </a:r>
          <a:endParaRPr lang="es-ES" sz="1100" b="1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679174</xdr:colOff>
      <xdr:row>49</xdr:row>
      <xdr:rowOff>143565</xdr:rowOff>
    </xdr:from>
    <xdr:to>
      <xdr:col>13</xdr:col>
      <xdr:colOff>154609</xdr:colOff>
      <xdr:row>82</xdr:row>
      <xdr:rowOff>85035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D80606-572B-324A-980D-D33770D28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06"/>
  <sheetViews>
    <sheetView tabSelected="1" topLeftCell="B48" zoomScale="115" zoomScaleNormal="115" workbookViewId="0">
      <selection activeCell="K3" sqref="K3:L96"/>
    </sheetView>
  </sheetViews>
  <sheetFormatPr baseColWidth="10" defaultRowHeight="15" x14ac:dyDescent="0.2"/>
  <cols>
    <col min="1" max="1" width="11.5" style="2"/>
    <col min="2" max="2" width="14.33203125" style="2" customWidth="1"/>
    <col min="3" max="3" width="23.5" style="2" bestFit="1" customWidth="1"/>
    <col min="4" max="4" width="12.33203125" style="21" customWidth="1"/>
    <col min="5" max="5" width="17.1640625" style="2" bestFit="1" customWidth="1"/>
    <col min="6" max="6" width="17.5" style="2" bestFit="1" customWidth="1"/>
    <col min="7" max="7" width="15.5" style="2" customWidth="1"/>
    <col min="8" max="8" width="14.83203125" style="2" customWidth="1"/>
    <col min="9" max="9" width="17.1640625" style="2" customWidth="1"/>
    <col min="10" max="10" width="18.5" style="2" customWidth="1"/>
    <col min="12" max="12" width="18.83203125" customWidth="1"/>
  </cols>
  <sheetData>
    <row r="1" spans="1:12" x14ac:dyDescent="0.2">
      <c r="A1" s="2" t="s">
        <v>10</v>
      </c>
      <c r="B1" s="19">
        <v>0.34387731481481482</v>
      </c>
      <c r="C1" s="2" t="s">
        <v>12</v>
      </c>
      <c r="D1" s="21">
        <v>13</v>
      </c>
    </row>
    <row r="2" spans="1:12" x14ac:dyDescent="0.2">
      <c r="A2" s="2" t="s">
        <v>11</v>
      </c>
      <c r="B2" s="19">
        <v>0.81454861111111121</v>
      </c>
      <c r="C2" s="2" t="s">
        <v>12</v>
      </c>
      <c r="D2" s="21">
        <v>16</v>
      </c>
      <c r="L2" s="24">
        <v>4.1666666666666664E-2</v>
      </c>
    </row>
    <row r="3" spans="1:12" s="3" customFormat="1" ht="66" x14ac:dyDescent="0.2">
      <c r="A3" s="16" t="s">
        <v>1</v>
      </c>
      <c r="B3" s="16" t="s">
        <v>0</v>
      </c>
      <c r="C3" s="17" t="s">
        <v>6</v>
      </c>
      <c r="D3" s="22" t="s">
        <v>9</v>
      </c>
      <c r="E3" s="18" t="s">
        <v>7</v>
      </c>
      <c r="F3" s="18" t="s">
        <v>8</v>
      </c>
      <c r="G3" s="18" t="s">
        <v>2</v>
      </c>
      <c r="H3" s="18" t="s">
        <v>4</v>
      </c>
      <c r="I3" s="18" t="s">
        <v>5</v>
      </c>
      <c r="J3" s="18" t="s">
        <v>3</v>
      </c>
      <c r="K3" s="3" t="s">
        <v>13</v>
      </c>
      <c r="L3" s="3" t="s">
        <v>9</v>
      </c>
    </row>
    <row r="4" spans="1:12" x14ac:dyDescent="0.2">
      <c r="A4" s="6">
        <v>1</v>
      </c>
      <c r="B4" s="7">
        <v>548.29999999999995</v>
      </c>
      <c r="C4" s="11">
        <f>(B4^3)*0.00000003039+(B4^2)*-0.000144+B4*0.358-143.78</f>
        <v>14.229660682908928</v>
      </c>
      <c r="D4" s="23">
        <v>0.34387731481481482</v>
      </c>
      <c r="E4" s="7">
        <v>15</v>
      </c>
      <c r="F4" s="7">
        <v>13.9</v>
      </c>
      <c r="G4" s="7">
        <v>4</v>
      </c>
      <c r="H4" s="7">
        <v>17</v>
      </c>
      <c r="I4" s="7">
        <v>24</v>
      </c>
      <c r="J4" s="14">
        <f t="shared" ref="J4:J67" si="0">(I4+H4)/2</f>
        <v>20.5</v>
      </c>
      <c r="K4">
        <f>(H4+I4)/2</f>
        <v>20.5</v>
      </c>
      <c r="L4" s="20">
        <f>D4+$L$2</f>
        <v>0.3855439814814815</v>
      </c>
    </row>
    <row r="5" spans="1:12" x14ac:dyDescent="0.2">
      <c r="A5" s="1">
        <v>2</v>
      </c>
      <c r="B5" s="7">
        <v>548.5</v>
      </c>
      <c r="C5" s="11">
        <f>(B5^3)*0.00000003039+(B5^2)*-0.000144+B5*0.358-143.78</f>
        <v>14.275156582808762</v>
      </c>
      <c r="D5" s="23">
        <v>0.34812500000000002</v>
      </c>
      <c r="E5" s="7">
        <v>15</v>
      </c>
      <c r="F5" s="7">
        <v>13.9</v>
      </c>
      <c r="G5" s="7">
        <v>4</v>
      </c>
      <c r="H5" s="7">
        <v>17</v>
      </c>
      <c r="I5" s="7">
        <v>24</v>
      </c>
      <c r="J5" s="14">
        <f t="shared" si="0"/>
        <v>20.5</v>
      </c>
      <c r="K5">
        <f t="shared" ref="K5:K68" si="1">(H5+I5)/2</f>
        <v>20.5</v>
      </c>
      <c r="L5" s="20">
        <f t="shared" ref="L5:L68" si="2">D5+$L$2</f>
        <v>0.3897916666666667</v>
      </c>
    </row>
    <row r="6" spans="1:12" x14ac:dyDescent="0.2">
      <c r="A6" s="6">
        <v>3</v>
      </c>
      <c r="B6" s="8">
        <v>551</v>
      </c>
      <c r="C6" s="12">
        <f t="shared" ref="C6:C96" si="3">(B6^3)*0.00000003039+(B6^2)*-0.000144+B6*0.358-143.78</f>
        <v>14.843221348889983</v>
      </c>
      <c r="D6" s="23">
        <v>0.35300925925925924</v>
      </c>
      <c r="E6" s="9">
        <v>15.1</v>
      </c>
      <c r="F6" s="8">
        <v>14</v>
      </c>
      <c r="G6" s="8">
        <v>4</v>
      </c>
      <c r="H6" s="8">
        <v>18.5</v>
      </c>
      <c r="I6" s="8">
        <v>24</v>
      </c>
      <c r="J6" s="15">
        <f t="shared" si="0"/>
        <v>21.25</v>
      </c>
      <c r="K6">
        <f t="shared" si="1"/>
        <v>21.25</v>
      </c>
      <c r="L6" s="20">
        <f t="shared" si="2"/>
        <v>0.39467592592592593</v>
      </c>
    </row>
    <row r="7" spans="1:12" x14ac:dyDescent="0.2">
      <c r="A7" s="1">
        <v>4</v>
      </c>
      <c r="B7" s="9">
        <v>551.20000000000005</v>
      </c>
      <c r="C7" s="12">
        <f t="shared" si="3"/>
        <v>14.888615859153902</v>
      </c>
      <c r="D7" s="23">
        <v>0.35554398148148147</v>
      </c>
      <c r="E7" s="9">
        <v>15.3</v>
      </c>
      <c r="F7" s="8">
        <v>14</v>
      </c>
      <c r="G7" s="8">
        <v>3.9</v>
      </c>
      <c r="H7" s="8">
        <v>17</v>
      </c>
      <c r="I7" s="8">
        <v>24.5</v>
      </c>
      <c r="J7" s="15">
        <f t="shared" si="0"/>
        <v>20.75</v>
      </c>
      <c r="K7">
        <f t="shared" si="1"/>
        <v>20.75</v>
      </c>
      <c r="L7" s="20">
        <f t="shared" si="2"/>
        <v>0.39721064814814816</v>
      </c>
    </row>
    <row r="8" spans="1:12" x14ac:dyDescent="0.2">
      <c r="A8" s="6">
        <v>5</v>
      </c>
      <c r="B8" s="9">
        <v>552</v>
      </c>
      <c r="C8" s="12">
        <f t="shared" si="3"/>
        <v>15.07011891711997</v>
      </c>
      <c r="D8" s="23">
        <v>0.36002314814814812</v>
      </c>
      <c r="E8" s="9">
        <v>15.6</v>
      </c>
      <c r="F8" s="9">
        <v>14.1</v>
      </c>
      <c r="G8" s="9">
        <v>3.9</v>
      </c>
      <c r="H8" s="9">
        <v>17</v>
      </c>
      <c r="I8" s="9">
        <v>23</v>
      </c>
      <c r="J8" s="15">
        <f t="shared" si="0"/>
        <v>20</v>
      </c>
      <c r="K8">
        <f t="shared" si="1"/>
        <v>20</v>
      </c>
      <c r="L8" s="20">
        <f t="shared" si="2"/>
        <v>0.40168981481481481</v>
      </c>
    </row>
    <row r="9" spans="1:12" x14ac:dyDescent="0.2">
      <c r="A9" s="1">
        <v>6</v>
      </c>
      <c r="B9" s="9">
        <v>552.20000000000005</v>
      </c>
      <c r="C9" s="12">
        <f t="shared" si="3"/>
        <v>15.115475943132736</v>
      </c>
      <c r="D9" s="23">
        <v>0.36452546296296295</v>
      </c>
      <c r="E9" s="9">
        <v>15.8</v>
      </c>
      <c r="F9" s="9">
        <v>14.2</v>
      </c>
      <c r="G9" s="9">
        <v>3.8</v>
      </c>
      <c r="H9" s="9">
        <v>17</v>
      </c>
      <c r="I9" s="9">
        <v>24.6</v>
      </c>
      <c r="J9" s="15">
        <f t="shared" si="0"/>
        <v>20.8</v>
      </c>
      <c r="K9">
        <f t="shared" si="1"/>
        <v>20.8</v>
      </c>
      <c r="L9" s="20">
        <f t="shared" si="2"/>
        <v>0.40619212962962964</v>
      </c>
    </row>
    <row r="10" spans="1:12" x14ac:dyDescent="0.2">
      <c r="A10" s="6">
        <v>7</v>
      </c>
      <c r="B10" s="9">
        <v>552.6</v>
      </c>
      <c r="C10" s="12">
        <f t="shared" si="3"/>
        <v>15.206167519194651</v>
      </c>
      <c r="D10" s="23">
        <v>0.37012731481481487</v>
      </c>
      <c r="E10" s="9">
        <v>16.2</v>
      </c>
      <c r="F10" s="9">
        <v>14.5</v>
      </c>
      <c r="G10" s="9">
        <v>3.7</v>
      </c>
      <c r="H10" s="9">
        <v>17</v>
      </c>
      <c r="I10" s="9">
        <v>24</v>
      </c>
      <c r="J10" s="15">
        <f t="shared" si="0"/>
        <v>20.5</v>
      </c>
      <c r="K10">
        <f t="shared" si="1"/>
        <v>20.5</v>
      </c>
      <c r="L10" s="20">
        <f t="shared" si="2"/>
        <v>0.41179398148148155</v>
      </c>
    </row>
    <row r="11" spans="1:12" x14ac:dyDescent="0.2">
      <c r="A11" s="1">
        <v>8</v>
      </c>
      <c r="B11" s="9">
        <v>552.5</v>
      </c>
      <c r="C11" s="12">
        <f t="shared" si="3"/>
        <v>15.183497434218737</v>
      </c>
      <c r="D11" s="23">
        <v>0.37287037037037035</v>
      </c>
      <c r="E11" s="9">
        <v>16.3</v>
      </c>
      <c r="F11" s="9">
        <v>14.4</v>
      </c>
      <c r="G11" s="9">
        <v>3.7</v>
      </c>
      <c r="H11" s="9">
        <v>16</v>
      </c>
      <c r="I11" s="9">
        <v>24</v>
      </c>
      <c r="J11" s="15">
        <f t="shared" si="0"/>
        <v>20</v>
      </c>
      <c r="K11">
        <f t="shared" si="1"/>
        <v>20</v>
      </c>
      <c r="L11" s="20">
        <f t="shared" si="2"/>
        <v>0.41453703703703704</v>
      </c>
    </row>
    <row r="12" spans="1:12" x14ac:dyDescent="0.2">
      <c r="A12" s="6">
        <v>9</v>
      </c>
      <c r="B12" s="9">
        <v>553.20000000000005</v>
      </c>
      <c r="C12" s="12">
        <f t="shared" si="3"/>
        <v>15.342148715259526</v>
      </c>
      <c r="D12" s="23">
        <v>0.37723379629629633</v>
      </c>
      <c r="E12" s="9">
        <v>16.399999999999999</v>
      </c>
      <c r="F12" s="9">
        <v>14.6</v>
      </c>
      <c r="G12" s="9">
        <v>3.8</v>
      </c>
      <c r="H12" s="9">
        <v>17</v>
      </c>
      <c r="I12" s="9">
        <v>23.3</v>
      </c>
      <c r="J12" s="15">
        <f t="shared" si="0"/>
        <v>20.149999999999999</v>
      </c>
      <c r="K12">
        <f t="shared" si="1"/>
        <v>20.149999999999999</v>
      </c>
      <c r="L12" s="20">
        <f t="shared" si="2"/>
        <v>0.41890046296296302</v>
      </c>
    </row>
    <row r="13" spans="1:12" x14ac:dyDescent="0.2">
      <c r="A13" s="1">
        <v>10</v>
      </c>
      <c r="B13" s="9">
        <v>553.6</v>
      </c>
      <c r="C13" s="12">
        <f t="shared" si="3"/>
        <v>15.432765417635807</v>
      </c>
      <c r="D13" s="23">
        <v>0.37989583333333332</v>
      </c>
      <c r="E13" s="9">
        <v>16.5</v>
      </c>
      <c r="F13" s="9">
        <v>14.6</v>
      </c>
      <c r="G13" s="9">
        <v>3.7</v>
      </c>
      <c r="H13" s="9">
        <v>17</v>
      </c>
      <c r="I13" s="9">
        <v>23.7</v>
      </c>
      <c r="J13" s="15">
        <f t="shared" si="0"/>
        <v>20.350000000000001</v>
      </c>
      <c r="K13">
        <f t="shared" si="1"/>
        <v>20.350000000000001</v>
      </c>
      <c r="L13" s="20">
        <f t="shared" si="2"/>
        <v>0.42156250000000001</v>
      </c>
    </row>
    <row r="14" spans="1:12" x14ac:dyDescent="0.2">
      <c r="A14" s="6">
        <v>11</v>
      </c>
      <c r="B14" s="9">
        <v>554</v>
      </c>
      <c r="C14" s="12">
        <f t="shared" si="3"/>
        <v>15.523352190959997</v>
      </c>
      <c r="D14" s="23">
        <v>0.38317129629629637</v>
      </c>
      <c r="E14" s="9">
        <v>16.8</v>
      </c>
      <c r="F14" s="9">
        <v>14.7</v>
      </c>
      <c r="G14" s="9">
        <v>3.7</v>
      </c>
      <c r="H14" s="9">
        <v>18</v>
      </c>
      <c r="I14" s="9">
        <v>23.5</v>
      </c>
      <c r="J14" s="15">
        <f t="shared" si="0"/>
        <v>20.75</v>
      </c>
      <c r="K14">
        <f t="shared" si="1"/>
        <v>20.75</v>
      </c>
      <c r="L14" s="20">
        <f t="shared" si="2"/>
        <v>0.42483796296296306</v>
      </c>
    </row>
    <row r="15" spans="1:12" x14ac:dyDescent="0.2">
      <c r="A15" s="1">
        <v>12</v>
      </c>
      <c r="B15" s="9">
        <v>554.29999999999995</v>
      </c>
      <c r="C15" s="12">
        <f t="shared" si="3"/>
        <v>15.591272637032716</v>
      </c>
      <c r="D15" s="23">
        <v>0.38636574074074076</v>
      </c>
      <c r="E15" s="9">
        <v>17</v>
      </c>
      <c r="F15" s="9">
        <v>14.8</v>
      </c>
      <c r="G15" s="9">
        <v>3.7</v>
      </c>
      <c r="H15" s="9">
        <v>17</v>
      </c>
      <c r="I15" s="9">
        <v>24.6</v>
      </c>
      <c r="J15" s="15">
        <f t="shared" si="0"/>
        <v>20.8</v>
      </c>
      <c r="K15">
        <f t="shared" si="1"/>
        <v>20.8</v>
      </c>
      <c r="L15" s="20">
        <f t="shared" si="2"/>
        <v>0.42803240740740744</v>
      </c>
    </row>
    <row r="16" spans="1:12" x14ac:dyDescent="0.2">
      <c r="A16" s="6">
        <v>13</v>
      </c>
      <c r="B16" s="9">
        <v>554.79999999999995</v>
      </c>
      <c r="C16" s="12">
        <f t="shared" si="3"/>
        <v>15.704435997130872</v>
      </c>
      <c r="D16" s="23">
        <v>0.38914351851851853</v>
      </c>
      <c r="E16" s="9">
        <v>17.2</v>
      </c>
      <c r="F16" s="9">
        <v>14.8</v>
      </c>
      <c r="G16" s="9">
        <v>3.7</v>
      </c>
      <c r="H16" s="9">
        <v>17</v>
      </c>
      <c r="I16" s="9">
        <v>24.5</v>
      </c>
      <c r="J16" s="15">
        <f t="shared" si="0"/>
        <v>20.75</v>
      </c>
      <c r="K16">
        <f t="shared" si="1"/>
        <v>20.75</v>
      </c>
      <c r="L16" s="20">
        <f t="shared" si="2"/>
        <v>0.43081018518518521</v>
      </c>
    </row>
    <row r="17" spans="1:12" x14ac:dyDescent="0.2">
      <c r="A17" s="1">
        <v>14</v>
      </c>
      <c r="B17" s="9">
        <v>555.4</v>
      </c>
      <c r="C17" s="12">
        <f t="shared" si="3"/>
        <v>15.840170374790944</v>
      </c>
      <c r="D17" s="23">
        <v>0.39329861111111114</v>
      </c>
      <c r="E17" s="9">
        <v>17.3</v>
      </c>
      <c r="F17" s="9">
        <v>14.9</v>
      </c>
      <c r="G17" s="9">
        <v>3.8</v>
      </c>
      <c r="H17" s="9">
        <v>18.3</v>
      </c>
      <c r="I17" s="9">
        <v>23.1</v>
      </c>
      <c r="J17" s="15">
        <f t="shared" si="0"/>
        <v>20.700000000000003</v>
      </c>
      <c r="K17">
        <f t="shared" si="1"/>
        <v>20.700000000000003</v>
      </c>
      <c r="L17" s="20">
        <f t="shared" si="2"/>
        <v>0.43496527777777783</v>
      </c>
    </row>
    <row r="18" spans="1:12" x14ac:dyDescent="0.2">
      <c r="A18" s="6">
        <v>15</v>
      </c>
      <c r="B18" s="9">
        <v>555.9</v>
      </c>
      <c r="C18" s="12">
        <f t="shared" si="3"/>
        <v>15.953231004202792</v>
      </c>
      <c r="D18" s="23">
        <v>0.39612268518518517</v>
      </c>
      <c r="E18" s="9">
        <v>17.5</v>
      </c>
      <c r="F18" s="9">
        <v>15</v>
      </c>
      <c r="G18" s="9">
        <v>3.7</v>
      </c>
      <c r="H18" s="9">
        <v>18</v>
      </c>
      <c r="I18" s="9">
        <v>23.6</v>
      </c>
      <c r="J18" s="15">
        <f t="shared" si="0"/>
        <v>20.8</v>
      </c>
      <c r="K18">
        <f t="shared" si="1"/>
        <v>20.8</v>
      </c>
      <c r="L18" s="20">
        <f t="shared" si="2"/>
        <v>0.43778935185185186</v>
      </c>
    </row>
    <row r="19" spans="1:12" x14ac:dyDescent="0.2">
      <c r="A19" s="1">
        <v>16</v>
      </c>
      <c r="B19" s="9">
        <v>556.20000000000005</v>
      </c>
      <c r="C19" s="12">
        <f t="shared" si="3"/>
        <v>16.021044983927936</v>
      </c>
      <c r="D19" s="23">
        <v>0.40465277777777781</v>
      </c>
      <c r="E19" s="9">
        <v>17.899999999999999</v>
      </c>
      <c r="F19" s="9">
        <v>15.2</v>
      </c>
      <c r="G19" s="9">
        <v>3.7</v>
      </c>
      <c r="H19" s="9">
        <v>18</v>
      </c>
      <c r="I19" s="9">
        <v>23.5</v>
      </c>
      <c r="J19" s="15">
        <f t="shared" si="0"/>
        <v>20.75</v>
      </c>
      <c r="K19">
        <f t="shared" si="1"/>
        <v>20.75</v>
      </c>
      <c r="L19" s="20">
        <f t="shared" si="2"/>
        <v>0.44631944444444449</v>
      </c>
    </row>
    <row r="20" spans="1:12" x14ac:dyDescent="0.2">
      <c r="A20" s="6">
        <v>17</v>
      </c>
      <c r="B20" s="9">
        <v>557.4</v>
      </c>
      <c r="C20" s="12">
        <f t="shared" si="3"/>
        <v>16.292133027817357</v>
      </c>
      <c r="D20" s="23">
        <v>0.40940972222222227</v>
      </c>
      <c r="E20" s="9">
        <v>17.899999999999999</v>
      </c>
      <c r="F20" s="9">
        <v>15.3</v>
      </c>
      <c r="G20" s="9">
        <v>3.7</v>
      </c>
      <c r="H20" s="9">
        <v>18</v>
      </c>
      <c r="I20" s="9">
        <v>23.6</v>
      </c>
      <c r="J20" s="15">
        <f t="shared" si="0"/>
        <v>20.8</v>
      </c>
      <c r="K20">
        <f t="shared" si="1"/>
        <v>20.8</v>
      </c>
      <c r="L20" s="20">
        <f t="shared" si="2"/>
        <v>0.45107638888888896</v>
      </c>
    </row>
    <row r="21" spans="1:12" x14ac:dyDescent="0.2">
      <c r="A21" s="1">
        <v>18</v>
      </c>
      <c r="B21" s="9">
        <v>558.1</v>
      </c>
      <c r="C21" s="12">
        <f t="shared" si="3"/>
        <v>16.450143768027004</v>
      </c>
      <c r="D21" s="23">
        <v>0.41394675925925928</v>
      </c>
      <c r="E21" s="9">
        <v>18.2</v>
      </c>
      <c r="F21" s="9">
        <v>15.4</v>
      </c>
      <c r="G21" s="9">
        <v>3.8</v>
      </c>
      <c r="H21" s="9">
        <v>17.7</v>
      </c>
      <c r="I21" s="9">
        <v>23.3</v>
      </c>
      <c r="J21" s="15">
        <f t="shared" si="0"/>
        <v>20.5</v>
      </c>
      <c r="K21">
        <f t="shared" si="1"/>
        <v>20.5</v>
      </c>
      <c r="L21" s="20">
        <f t="shared" si="2"/>
        <v>0.45561342592592596</v>
      </c>
    </row>
    <row r="22" spans="1:12" x14ac:dyDescent="0.2">
      <c r="A22" s="6">
        <v>19</v>
      </c>
      <c r="B22" s="9">
        <v>558.4</v>
      </c>
      <c r="C22" s="12">
        <f t="shared" si="3"/>
        <v>16.517834717634543</v>
      </c>
      <c r="D22" s="23">
        <v>0.417488425925926</v>
      </c>
      <c r="E22" s="9">
        <v>18.3</v>
      </c>
      <c r="F22" s="9">
        <v>15.5</v>
      </c>
      <c r="G22" s="9">
        <v>3.7</v>
      </c>
      <c r="H22" s="9">
        <v>17.7</v>
      </c>
      <c r="I22" s="9">
        <v>23.5</v>
      </c>
      <c r="J22" s="15">
        <f t="shared" si="0"/>
        <v>20.6</v>
      </c>
      <c r="K22">
        <f t="shared" si="1"/>
        <v>20.6</v>
      </c>
      <c r="L22" s="20">
        <f t="shared" si="2"/>
        <v>0.45915509259259268</v>
      </c>
    </row>
    <row r="23" spans="1:12" x14ac:dyDescent="0.2">
      <c r="A23" s="1">
        <v>20</v>
      </c>
      <c r="B23" s="9">
        <v>558.79999999999995</v>
      </c>
      <c r="C23" s="12">
        <f t="shared" si="3"/>
        <v>16.608063252574055</v>
      </c>
      <c r="D23" s="23">
        <v>0.42187500000000006</v>
      </c>
      <c r="E23" s="9">
        <v>18.600000000000001</v>
      </c>
      <c r="F23" s="9">
        <v>15.5</v>
      </c>
      <c r="G23" s="9">
        <v>3.7</v>
      </c>
      <c r="H23" s="9">
        <v>17.600000000000001</v>
      </c>
      <c r="I23" s="9">
        <v>23.6</v>
      </c>
      <c r="J23" s="15">
        <f t="shared" si="0"/>
        <v>20.6</v>
      </c>
      <c r="K23">
        <f t="shared" si="1"/>
        <v>20.6</v>
      </c>
      <c r="L23" s="20">
        <f t="shared" si="2"/>
        <v>0.46354166666666674</v>
      </c>
    </row>
    <row r="24" spans="1:12" x14ac:dyDescent="0.2">
      <c r="A24" s="6">
        <v>21</v>
      </c>
      <c r="B24" s="9">
        <v>559.20000000000005</v>
      </c>
      <c r="C24" s="12">
        <f t="shared" si="3"/>
        <v>16.698262010168293</v>
      </c>
      <c r="D24" s="23">
        <v>0.42717592592592596</v>
      </c>
      <c r="E24" s="9">
        <v>18.600000000000001</v>
      </c>
      <c r="F24" s="9">
        <v>15.6</v>
      </c>
      <c r="G24" s="9">
        <v>3.7</v>
      </c>
      <c r="H24" s="9">
        <v>17.7</v>
      </c>
      <c r="I24" s="9">
        <v>24.3</v>
      </c>
      <c r="J24" s="15">
        <f t="shared" si="0"/>
        <v>21</v>
      </c>
      <c r="K24">
        <f t="shared" si="1"/>
        <v>21</v>
      </c>
      <c r="L24" s="20">
        <f t="shared" si="2"/>
        <v>0.46884259259259264</v>
      </c>
    </row>
    <row r="25" spans="1:12" x14ac:dyDescent="0.2">
      <c r="A25" s="1">
        <v>22</v>
      </c>
      <c r="B25" s="9">
        <v>559.5</v>
      </c>
      <c r="C25" s="12">
        <f>(B25^3)*0.00000003039+(B25^2)*-0.000144+B25*0.358-143.78</f>
        <v>16.765891544001221</v>
      </c>
      <c r="D25" s="23">
        <v>0.43105324074074075</v>
      </c>
      <c r="E25" s="9">
        <v>18.899999999999999</v>
      </c>
      <c r="F25" s="9">
        <v>15.8</v>
      </c>
      <c r="G25" s="9">
        <v>3.7</v>
      </c>
      <c r="H25" s="9">
        <v>17.5</v>
      </c>
      <c r="I25" s="9">
        <v>24.2</v>
      </c>
      <c r="J25" s="15">
        <f t="shared" si="0"/>
        <v>20.85</v>
      </c>
      <c r="K25">
        <f t="shared" si="1"/>
        <v>20.85</v>
      </c>
      <c r="L25" s="20">
        <f t="shared" si="2"/>
        <v>0.47271990740740744</v>
      </c>
    </row>
    <row r="26" spans="1:12" x14ac:dyDescent="0.2">
      <c r="A26" s="6">
        <v>23</v>
      </c>
      <c r="B26" s="9">
        <v>560.20000000000005</v>
      </c>
      <c r="C26" s="12">
        <f t="shared" si="3"/>
        <v>16.923628704851126</v>
      </c>
      <c r="D26" s="23">
        <v>0.43512731481481481</v>
      </c>
      <c r="E26" s="9">
        <v>19</v>
      </c>
      <c r="F26" s="9">
        <v>15.9</v>
      </c>
      <c r="G26" s="9">
        <v>3.8</v>
      </c>
      <c r="H26" s="9">
        <v>17.7</v>
      </c>
      <c r="I26" s="9">
        <v>23</v>
      </c>
      <c r="J26" s="15">
        <f t="shared" si="0"/>
        <v>20.350000000000001</v>
      </c>
      <c r="K26">
        <f t="shared" si="1"/>
        <v>20.350000000000001</v>
      </c>
      <c r="L26" s="20">
        <f t="shared" si="2"/>
        <v>0.4767939814814815</v>
      </c>
    </row>
    <row r="27" spans="1:12" x14ac:dyDescent="0.2">
      <c r="A27" s="1">
        <v>24</v>
      </c>
      <c r="B27" s="9">
        <v>560.79999999999995</v>
      </c>
      <c r="C27" s="12">
        <f t="shared" si="3"/>
        <v>17.058759500487668</v>
      </c>
      <c r="D27" s="23">
        <v>0.43792824074074077</v>
      </c>
      <c r="E27" s="9">
        <v>19.100000000000001</v>
      </c>
      <c r="F27" s="9">
        <v>16</v>
      </c>
      <c r="G27" s="9">
        <v>3.7</v>
      </c>
      <c r="H27" s="9">
        <v>17.600000000000001</v>
      </c>
      <c r="I27" s="9">
        <v>23.7</v>
      </c>
      <c r="J27" s="15">
        <f t="shared" si="0"/>
        <v>20.65</v>
      </c>
      <c r="K27">
        <f t="shared" si="1"/>
        <v>20.65</v>
      </c>
      <c r="L27" s="20">
        <f t="shared" si="2"/>
        <v>0.47959490740740746</v>
      </c>
    </row>
    <row r="28" spans="1:12" x14ac:dyDescent="0.2">
      <c r="A28" s="6">
        <v>25</v>
      </c>
      <c r="B28" s="9">
        <v>561.1</v>
      </c>
      <c r="C28" s="12">
        <f t="shared" si="3"/>
        <v>17.126299820441062</v>
      </c>
      <c r="D28" s="23">
        <v>0.4425</v>
      </c>
      <c r="E28" s="9">
        <v>19.2</v>
      </c>
      <c r="F28" s="9">
        <v>16.100000000000001</v>
      </c>
      <c r="G28" s="9">
        <v>3.7</v>
      </c>
      <c r="H28" s="9">
        <v>17.899999999999999</v>
      </c>
      <c r="I28" s="9">
        <v>23.8</v>
      </c>
      <c r="J28" s="15">
        <f t="shared" si="0"/>
        <v>20.85</v>
      </c>
      <c r="K28">
        <f t="shared" si="1"/>
        <v>20.85</v>
      </c>
      <c r="L28" s="20">
        <f t="shared" si="2"/>
        <v>0.48416666666666669</v>
      </c>
    </row>
    <row r="29" spans="1:12" x14ac:dyDescent="0.2">
      <c r="A29" s="1">
        <v>26</v>
      </c>
      <c r="B29" s="9">
        <v>561.5</v>
      </c>
      <c r="C29" s="12">
        <f t="shared" si="3"/>
        <v>17.216327584766248</v>
      </c>
      <c r="D29" s="23">
        <v>0.44525462962962964</v>
      </c>
      <c r="E29" s="9">
        <v>19.2</v>
      </c>
      <c r="F29" s="9">
        <v>16.100000000000001</v>
      </c>
      <c r="G29" s="9">
        <v>3.7</v>
      </c>
      <c r="H29" s="9">
        <v>18</v>
      </c>
      <c r="I29" s="9">
        <v>23.7</v>
      </c>
      <c r="J29" s="15">
        <f t="shared" si="0"/>
        <v>20.85</v>
      </c>
      <c r="K29">
        <f t="shared" si="1"/>
        <v>20.85</v>
      </c>
      <c r="L29" s="20">
        <f t="shared" si="2"/>
        <v>0.48692129629629632</v>
      </c>
    </row>
    <row r="30" spans="1:12" x14ac:dyDescent="0.2">
      <c r="A30" s="6">
        <v>27</v>
      </c>
      <c r="B30" s="9">
        <v>561.79999999999995</v>
      </c>
      <c r="C30" s="12">
        <f t="shared" si="3"/>
        <v>17.283828917682456</v>
      </c>
      <c r="D30" s="23">
        <v>0.44800925925925933</v>
      </c>
      <c r="E30" s="9">
        <v>19.399999999999999</v>
      </c>
      <c r="F30" s="9">
        <v>16.2</v>
      </c>
      <c r="G30" s="9">
        <v>3.7</v>
      </c>
      <c r="H30" s="9">
        <v>18</v>
      </c>
      <c r="I30" s="9">
        <v>23.6</v>
      </c>
      <c r="J30" s="15">
        <f t="shared" si="0"/>
        <v>20.8</v>
      </c>
      <c r="K30">
        <f t="shared" si="1"/>
        <v>20.8</v>
      </c>
      <c r="L30" s="20">
        <f t="shared" si="2"/>
        <v>0.48967592592592601</v>
      </c>
    </row>
    <row r="31" spans="1:12" x14ac:dyDescent="0.2">
      <c r="A31" s="1">
        <v>28</v>
      </c>
      <c r="B31" s="9">
        <v>562.29999999999995</v>
      </c>
      <c r="C31" s="12">
        <f t="shared" si="3"/>
        <v>17.396294029363133</v>
      </c>
      <c r="D31" s="23">
        <v>0.45295138888888892</v>
      </c>
      <c r="E31" s="9">
        <v>19.5</v>
      </c>
      <c r="F31" s="9">
        <v>16.3</v>
      </c>
      <c r="G31" s="9">
        <v>3.7</v>
      </c>
      <c r="H31" s="9">
        <v>17.5</v>
      </c>
      <c r="I31" s="9">
        <v>23.6</v>
      </c>
      <c r="J31" s="15">
        <f t="shared" si="0"/>
        <v>20.55</v>
      </c>
      <c r="K31">
        <f t="shared" si="1"/>
        <v>20.55</v>
      </c>
      <c r="L31" s="20">
        <f t="shared" si="2"/>
        <v>0.4946180555555556</v>
      </c>
    </row>
    <row r="32" spans="1:12" x14ac:dyDescent="0.2">
      <c r="A32" s="6">
        <v>29</v>
      </c>
      <c r="B32" s="9">
        <v>562.6</v>
      </c>
      <c r="C32" s="12">
        <f t="shared" si="3"/>
        <v>17.463750838486618</v>
      </c>
      <c r="D32" s="23">
        <v>0.45694444444444449</v>
      </c>
      <c r="E32" s="9">
        <v>19.8</v>
      </c>
      <c r="F32" s="9">
        <v>16.600000000000001</v>
      </c>
      <c r="G32" s="9">
        <v>3.8</v>
      </c>
      <c r="H32" s="9">
        <v>18</v>
      </c>
      <c r="I32" s="9">
        <v>23.7</v>
      </c>
      <c r="J32" s="15">
        <f t="shared" si="0"/>
        <v>20.85</v>
      </c>
      <c r="K32">
        <f t="shared" si="1"/>
        <v>20.85</v>
      </c>
      <c r="L32" s="20">
        <f t="shared" si="2"/>
        <v>0.49861111111111117</v>
      </c>
    </row>
    <row r="33" spans="1:12" x14ac:dyDescent="0.2">
      <c r="A33" s="1">
        <v>30</v>
      </c>
      <c r="B33" s="9">
        <v>563</v>
      </c>
      <c r="C33" s="12">
        <f t="shared" si="3"/>
        <v>17.553667293329994</v>
      </c>
      <c r="D33" s="23">
        <v>0.46107638888888886</v>
      </c>
      <c r="E33" s="9">
        <v>20</v>
      </c>
      <c r="F33" s="9">
        <v>16.600000000000001</v>
      </c>
      <c r="G33" s="9">
        <v>3.7</v>
      </c>
      <c r="H33" s="9">
        <v>18</v>
      </c>
      <c r="I33" s="9">
        <v>23.8</v>
      </c>
      <c r="J33" s="15">
        <f t="shared" si="0"/>
        <v>20.9</v>
      </c>
      <c r="K33">
        <f t="shared" si="1"/>
        <v>20.9</v>
      </c>
      <c r="L33" s="20">
        <f t="shared" si="2"/>
        <v>0.50274305555555554</v>
      </c>
    </row>
    <row r="34" spans="1:12" x14ac:dyDescent="0.2">
      <c r="A34" s="6">
        <v>31</v>
      </c>
      <c r="B34" s="9">
        <v>563.70000000000005</v>
      </c>
      <c r="C34" s="12">
        <f t="shared" si="3"/>
        <v>17.710949739432664</v>
      </c>
      <c r="D34" s="23">
        <v>0.46385416666666662</v>
      </c>
      <c r="E34" s="9">
        <v>20.2</v>
      </c>
      <c r="F34" s="9">
        <v>16.8</v>
      </c>
      <c r="G34" s="9">
        <v>3.7</v>
      </c>
      <c r="H34" s="9">
        <v>17.899999999999999</v>
      </c>
      <c r="I34" s="9">
        <v>23.7</v>
      </c>
      <c r="J34" s="15">
        <f t="shared" si="0"/>
        <v>20.799999999999997</v>
      </c>
      <c r="K34">
        <f t="shared" si="1"/>
        <v>20.799999999999997</v>
      </c>
      <c r="L34" s="20">
        <f t="shared" si="2"/>
        <v>0.50552083333333331</v>
      </c>
    </row>
    <row r="35" spans="1:12" x14ac:dyDescent="0.2">
      <c r="A35" s="1">
        <v>32</v>
      </c>
      <c r="B35" s="9">
        <v>564</v>
      </c>
      <c r="C35" s="12">
        <f t="shared" si="3"/>
        <v>17.778328716159962</v>
      </c>
      <c r="D35" s="23">
        <v>0.46663194444444439</v>
      </c>
      <c r="E35" s="9">
        <v>20.2</v>
      </c>
      <c r="F35" s="9">
        <v>16.8</v>
      </c>
      <c r="G35" s="9">
        <v>3.7</v>
      </c>
      <c r="H35" s="9">
        <v>17.899999999999999</v>
      </c>
      <c r="I35" s="9">
        <v>23.5</v>
      </c>
      <c r="J35" s="15">
        <f t="shared" si="0"/>
        <v>20.7</v>
      </c>
      <c r="K35">
        <f t="shared" si="1"/>
        <v>20.7</v>
      </c>
      <c r="L35" s="20">
        <f t="shared" si="2"/>
        <v>0.50829861111111108</v>
      </c>
    </row>
    <row r="36" spans="1:12" x14ac:dyDescent="0.2">
      <c r="A36" s="6">
        <v>33</v>
      </c>
      <c r="B36" s="9">
        <v>564.29999999999995</v>
      </c>
      <c r="C36" s="12">
        <f t="shared" si="3"/>
        <v>17.845691028465694</v>
      </c>
      <c r="D36" s="23">
        <v>0.46940972222222216</v>
      </c>
      <c r="E36" s="9">
        <v>20.3</v>
      </c>
      <c r="F36" s="9">
        <v>16.899999999999999</v>
      </c>
      <c r="G36" s="9">
        <v>3.7</v>
      </c>
      <c r="H36" s="9">
        <v>17.5</v>
      </c>
      <c r="I36" s="9">
        <v>23</v>
      </c>
      <c r="J36" s="15">
        <f t="shared" si="0"/>
        <v>20.25</v>
      </c>
      <c r="K36">
        <f t="shared" si="1"/>
        <v>20.25</v>
      </c>
      <c r="L36" s="20">
        <f t="shared" si="2"/>
        <v>0.51107638888888884</v>
      </c>
    </row>
    <row r="37" spans="1:12" x14ac:dyDescent="0.2">
      <c r="A37" s="1">
        <v>34</v>
      </c>
      <c r="B37" s="9">
        <v>564.70000000000005</v>
      </c>
      <c r="C37" s="12">
        <f t="shared" si="3"/>
        <v>17.935481530948977</v>
      </c>
      <c r="D37" s="23">
        <v>0.47218749999999993</v>
      </c>
      <c r="E37" s="9">
        <v>20.399999999999999</v>
      </c>
      <c r="F37" s="9">
        <v>16.899999999999999</v>
      </c>
      <c r="G37" s="9">
        <v>3.7</v>
      </c>
      <c r="H37" s="9">
        <v>18</v>
      </c>
      <c r="I37" s="9">
        <v>23</v>
      </c>
      <c r="J37" s="15">
        <f t="shared" si="0"/>
        <v>20.5</v>
      </c>
      <c r="K37">
        <f t="shared" si="1"/>
        <v>20.5</v>
      </c>
      <c r="L37" s="20">
        <f t="shared" si="2"/>
        <v>0.51385416666666661</v>
      </c>
    </row>
    <row r="38" spans="1:12" x14ac:dyDescent="0.2">
      <c r="A38" s="6">
        <v>35</v>
      </c>
      <c r="B38" s="9">
        <v>565</v>
      </c>
      <c r="C38" s="12">
        <f t="shared" si="3"/>
        <v>18.002804978749992</v>
      </c>
      <c r="D38" s="23">
        <v>0.47496527777777769</v>
      </c>
      <c r="E38" s="9">
        <v>20.5</v>
      </c>
      <c r="F38" s="9">
        <v>16.899999999999999</v>
      </c>
      <c r="G38" s="9">
        <v>3.7</v>
      </c>
      <c r="H38" s="9">
        <v>18</v>
      </c>
      <c r="I38" s="9">
        <v>23.5</v>
      </c>
      <c r="J38" s="15">
        <f t="shared" si="0"/>
        <v>20.75</v>
      </c>
      <c r="K38">
        <f t="shared" si="1"/>
        <v>20.75</v>
      </c>
      <c r="L38" s="20">
        <f t="shared" si="2"/>
        <v>0.51663194444444438</v>
      </c>
    </row>
    <row r="39" spans="1:12" x14ac:dyDescent="0.2">
      <c r="A39" s="1">
        <v>36</v>
      </c>
      <c r="B39" s="9">
        <v>565.29999999999995</v>
      </c>
      <c r="C39" s="12">
        <f t="shared" si="3"/>
        <v>18.070111778539996</v>
      </c>
      <c r="D39" s="23">
        <v>0.47774305555555546</v>
      </c>
      <c r="E39" s="9">
        <v>20.5</v>
      </c>
      <c r="F39" s="9">
        <v>17</v>
      </c>
      <c r="G39" s="9">
        <v>3.7</v>
      </c>
      <c r="H39" s="9">
        <v>17.399999999999999</v>
      </c>
      <c r="I39" s="9">
        <v>23.7</v>
      </c>
      <c r="J39" s="15">
        <f t="shared" si="0"/>
        <v>20.549999999999997</v>
      </c>
      <c r="K39">
        <f t="shared" si="1"/>
        <v>20.549999999999997</v>
      </c>
      <c r="L39" s="20">
        <f t="shared" si="2"/>
        <v>0.51940972222222215</v>
      </c>
    </row>
    <row r="40" spans="1:12" x14ac:dyDescent="0.2">
      <c r="A40" s="6">
        <v>37</v>
      </c>
      <c r="B40" s="9">
        <v>565.70000000000005</v>
      </c>
      <c r="C40" s="12">
        <f t="shared" si="3"/>
        <v>18.15982828986327</v>
      </c>
      <c r="D40" s="23">
        <v>0.48052083333333323</v>
      </c>
      <c r="E40" s="9">
        <v>20.6</v>
      </c>
      <c r="F40" s="9">
        <v>17</v>
      </c>
      <c r="G40" s="9">
        <v>3.7</v>
      </c>
      <c r="H40" s="9">
        <v>17.5</v>
      </c>
      <c r="I40" s="9">
        <v>23.7</v>
      </c>
      <c r="J40" s="15">
        <f t="shared" si="0"/>
        <v>20.6</v>
      </c>
      <c r="K40">
        <f t="shared" si="1"/>
        <v>20.6</v>
      </c>
      <c r="L40" s="20">
        <f t="shared" si="2"/>
        <v>0.52218749999999992</v>
      </c>
    </row>
    <row r="41" spans="1:12" x14ac:dyDescent="0.2">
      <c r="A41" s="1">
        <v>38</v>
      </c>
      <c r="B41" s="9">
        <v>566</v>
      </c>
      <c r="C41" s="12">
        <f t="shared" si="3"/>
        <v>18.227096263439989</v>
      </c>
      <c r="D41" s="23">
        <v>0.483298611111111</v>
      </c>
      <c r="E41" s="9">
        <v>20.6</v>
      </c>
      <c r="F41" s="9">
        <v>17</v>
      </c>
      <c r="G41" s="9">
        <v>3.7</v>
      </c>
      <c r="H41" s="9">
        <v>18</v>
      </c>
      <c r="I41" s="9">
        <v>23.6</v>
      </c>
      <c r="J41" s="15">
        <f t="shared" si="0"/>
        <v>20.8</v>
      </c>
      <c r="K41">
        <f t="shared" si="1"/>
        <v>20.8</v>
      </c>
      <c r="L41" s="20">
        <f t="shared" si="2"/>
        <v>0.52496527777777768</v>
      </c>
    </row>
    <row r="42" spans="1:12" x14ac:dyDescent="0.2">
      <c r="A42" s="6">
        <v>39</v>
      </c>
      <c r="B42" s="9">
        <v>566.4</v>
      </c>
      <c r="C42" s="12">
        <f t="shared" si="3"/>
        <v>18.316761024348153</v>
      </c>
      <c r="D42" s="23">
        <v>0.48607638888888877</v>
      </c>
      <c r="E42" s="9">
        <v>20.7</v>
      </c>
      <c r="F42" s="9">
        <v>17.100000000000001</v>
      </c>
      <c r="G42" s="9">
        <v>3.7</v>
      </c>
      <c r="H42" s="9">
        <v>18.100000000000001</v>
      </c>
      <c r="I42" s="9">
        <v>23.2</v>
      </c>
      <c r="J42" s="15">
        <f t="shared" si="0"/>
        <v>20.65</v>
      </c>
      <c r="K42">
        <f t="shared" si="1"/>
        <v>20.65</v>
      </c>
      <c r="L42" s="20">
        <f t="shared" si="2"/>
        <v>0.52774305555555545</v>
      </c>
    </row>
    <row r="43" spans="1:12" x14ac:dyDescent="0.2">
      <c r="A43" s="1">
        <v>40</v>
      </c>
      <c r="B43" s="9">
        <v>566.9</v>
      </c>
      <c r="C43" s="12">
        <f t="shared" si="3"/>
        <v>18.428800414260508</v>
      </c>
      <c r="D43" s="23">
        <v>0.48921296296296302</v>
      </c>
      <c r="E43" s="9">
        <v>20.7</v>
      </c>
      <c r="F43" s="9">
        <v>17.100000000000001</v>
      </c>
      <c r="G43" s="9">
        <v>3.7</v>
      </c>
      <c r="H43" s="9">
        <v>18.100000000000001</v>
      </c>
      <c r="I43" s="9">
        <v>23.3</v>
      </c>
      <c r="J43" s="15">
        <f t="shared" si="0"/>
        <v>20.700000000000003</v>
      </c>
      <c r="K43">
        <f t="shared" si="1"/>
        <v>20.700000000000003</v>
      </c>
      <c r="L43" s="20">
        <f t="shared" si="2"/>
        <v>0.53087962962962965</v>
      </c>
    </row>
    <row r="44" spans="1:12" x14ac:dyDescent="0.2">
      <c r="A44" s="6">
        <v>41</v>
      </c>
      <c r="B44" s="9">
        <v>567.29999999999995</v>
      </c>
      <c r="C44" s="12">
        <f t="shared" si="3"/>
        <v>18.518398691434612</v>
      </c>
      <c r="D44" s="23">
        <v>0.49200231481481477</v>
      </c>
      <c r="E44" s="9">
        <v>20.8</v>
      </c>
      <c r="F44" s="9">
        <v>17.100000000000001</v>
      </c>
      <c r="G44" s="9">
        <v>3.6</v>
      </c>
      <c r="H44" s="9">
        <v>18</v>
      </c>
      <c r="I44" s="9">
        <v>23</v>
      </c>
      <c r="J44" s="15">
        <f t="shared" si="0"/>
        <v>20.5</v>
      </c>
      <c r="K44">
        <f t="shared" si="1"/>
        <v>20.5</v>
      </c>
      <c r="L44" s="20">
        <f t="shared" si="2"/>
        <v>0.53366898148148145</v>
      </c>
    </row>
    <row r="45" spans="1:12" x14ac:dyDescent="0.2">
      <c r="A45" s="1">
        <v>42</v>
      </c>
      <c r="B45" s="9">
        <v>567.6</v>
      </c>
      <c r="C45" s="12">
        <f t="shared" si="3"/>
        <v>18.585578020032614</v>
      </c>
      <c r="D45" s="23">
        <v>0.49596064814814822</v>
      </c>
      <c r="E45" s="9">
        <v>20.9</v>
      </c>
      <c r="F45" s="9">
        <v>17.2</v>
      </c>
      <c r="G45" s="9">
        <v>3.6</v>
      </c>
      <c r="H45" s="9">
        <v>18</v>
      </c>
      <c r="I45" s="9">
        <v>23.7</v>
      </c>
      <c r="J45" s="15">
        <f t="shared" si="0"/>
        <v>20.85</v>
      </c>
      <c r="K45">
        <f t="shared" si="1"/>
        <v>20.85</v>
      </c>
      <c r="L45" s="20">
        <f t="shared" si="2"/>
        <v>0.53762731481481485</v>
      </c>
    </row>
    <row r="46" spans="1:12" x14ac:dyDescent="0.2">
      <c r="A46" s="6">
        <v>43</v>
      </c>
      <c r="B46" s="9">
        <v>568</v>
      </c>
      <c r="C46" s="12">
        <f t="shared" si="3"/>
        <v>18.675124628480006</v>
      </c>
      <c r="D46" s="23">
        <v>0.5020486111111111</v>
      </c>
      <c r="E46" s="9">
        <v>21</v>
      </c>
      <c r="F46" s="9">
        <v>17.3</v>
      </c>
      <c r="G46" s="9">
        <v>3.5</v>
      </c>
      <c r="H46" s="9">
        <v>17.399999999999999</v>
      </c>
      <c r="I46" s="9">
        <v>23.6</v>
      </c>
      <c r="J46" s="15">
        <f t="shared" si="0"/>
        <v>20.5</v>
      </c>
      <c r="K46">
        <f t="shared" si="1"/>
        <v>20.5</v>
      </c>
      <c r="L46" s="20">
        <f t="shared" si="2"/>
        <v>0.54371527777777773</v>
      </c>
    </row>
    <row r="47" spans="1:12" x14ac:dyDescent="0.2">
      <c r="A47" s="1">
        <v>44</v>
      </c>
      <c r="B47" s="9">
        <v>568.5</v>
      </c>
      <c r="C47" s="12">
        <f t="shared" si="3"/>
        <v>18.787016393458742</v>
      </c>
      <c r="D47" s="23">
        <v>0.50429398148148141</v>
      </c>
      <c r="E47" s="9">
        <v>21.1</v>
      </c>
      <c r="F47" s="9">
        <v>17.399999999999999</v>
      </c>
      <c r="G47" s="9">
        <v>3.5</v>
      </c>
      <c r="H47" s="9">
        <v>17.399999999999999</v>
      </c>
      <c r="I47" s="9">
        <v>23.4</v>
      </c>
      <c r="J47" s="15">
        <f t="shared" si="0"/>
        <v>20.399999999999999</v>
      </c>
      <c r="K47">
        <f t="shared" si="1"/>
        <v>20.399999999999999</v>
      </c>
      <c r="L47" s="20">
        <f t="shared" si="2"/>
        <v>0.54596064814814804</v>
      </c>
    </row>
    <row r="48" spans="1:12" x14ac:dyDescent="0.2">
      <c r="A48" s="6">
        <v>45</v>
      </c>
      <c r="B48" s="9">
        <v>569.20000000000005</v>
      </c>
      <c r="C48" s="12">
        <f t="shared" si="3"/>
        <v>18.943587446856327</v>
      </c>
      <c r="D48" s="23">
        <v>0.50694444444444442</v>
      </c>
      <c r="E48" s="9">
        <v>21.2</v>
      </c>
      <c r="F48" s="9">
        <v>17.5</v>
      </c>
      <c r="G48" s="9">
        <v>3.5</v>
      </c>
      <c r="H48" s="9">
        <v>17.5</v>
      </c>
      <c r="I48" s="9">
        <v>23</v>
      </c>
      <c r="J48" s="15">
        <f t="shared" si="0"/>
        <v>20.25</v>
      </c>
      <c r="K48">
        <f t="shared" si="1"/>
        <v>20.25</v>
      </c>
      <c r="L48" s="20">
        <f t="shared" si="2"/>
        <v>0.54861111111111105</v>
      </c>
    </row>
    <row r="49" spans="1:12" x14ac:dyDescent="0.2">
      <c r="A49" s="1">
        <v>46</v>
      </c>
      <c r="B49" s="9">
        <v>569.20000000000005</v>
      </c>
      <c r="C49" s="12">
        <f t="shared" si="3"/>
        <v>18.943587446856327</v>
      </c>
      <c r="D49" s="23">
        <v>0.50979166666666664</v>
      </c>
      <c r="E49" s="9">
        <v>21.2</v>
      </c>
      <c r="F49" s="9">
        <v>17.5</v>
      </c>
      <c r="G49" s="9">
        <v>3.5</v>
      </c>
      <c r="H49" s="9">
        <v>17.399999999999999</v>
      </c>
      <c r="I49" s="9">
        <v>23</v>
      </c>
      <c r="J49" s="15">
        <f t="shared" si="0"/>
        <v>20.2</v>
      </c>
      <c r="K49">
        <f t="shared" si="1"/>
        <v>20.2</v>
      </c>
      <c r="L49" s="20">
        <f t="shared" si="2"/>
        <v>0.55145833333333327</v>
      </c>
    </row>
    <row r="50" spans="1:12" x14ac:dyDescent="0.2">
      <c r="A50" s="6">
        <v>47</v>
      </c>
      <c r="B50" s="9">
        <v>569.29999999999995</v>
      </c>
      <c r="C50" s="12">
        <f t="shared" si="3"/>
        <v>18.965947370257226</v>
      </c>
      <c r="D50" s="23">
        <v>0.51312500000000005</v>
      </c>
      <c r="E50" s="9">
        <v>21.3</v>
      </c>
      <c r="F50" s="9">
        <v>17.7</v>
      </c>
      <c r="G50" s="9">
        <v>3.5</v>
      </c>
      <c r="H50" s="9">
        <v>17.7</v>
      </c>
      <c r="I50" s="9">
        <v>23</v>
      </c>
      <c r="J50" s="15">
        <f t="shared" si="0"/>
        <v>20.350000000000001</v>
      </c>
      <c r="K50">
        <f t="shared" si="1"/>
        <v>20.350000000000001</v>
      </c>
      <c r="L50" s="20">
        <f t="shared" si="2"/>
        <v>0.55479166666666668</v>
      </c>
    </row>
    <row r="51" spans="1:12" x14ac:dyDescent="0.2">
      <c r="A51" s="1">
        <v>48</v>
      </c>
      <c r="B51" s="9">
        <v>569.6</v>
      </c>
      <c r="C51" s="12">
        <f t="shared" si="3"/>
        <v>19.033016089559027</v>
      </c>
      <c r="D51" s="23">
        <v>0.51583333333333337</v>
      </c>
      <c r="E51" s="9">
        <v>21.5</v>
      </c>
      <c r="F51" s="9">
        <v>17.7</v>
      </c>
      <c r="G51" s="9">
        <v>3.5</v>
      </c>
      <c r="H51" s="9">
        <v>17.600000000000001</v>
      </c>
      <c r="I51" s="9">
        <v>23.6</v>
      </c>
      <c r="J51" s="15">
        <f t="shared" si="0"/>
        <v>20.6</v>
      </c>
      <c r="K51">
        <f t="shared" si="1"/>
        <v>20.6</v>
      </c>
      <c r="L51" s="20">
        <f t="shared" si="2"/>
        <v>0.5575</v>
      </c>
    </row>
    <row r="52" spans="1:12" x14ac:dyDescent="0.2">
      <c r="A52" s="6">
        <v>49</v>
      </c>
      <c r="B52" s="9">
        <v>569.9</v>
      </c>
      <c r="C52" s="12">
        <f t="shared" si="3"/>
        <v>19.100068236338586</v>
      </c>
      <c r="D52" s="23">
        <v>0.5186574074074074</v>
      </c>
      <c r="E52" s="9">
        <v>21.5</v>
      </c>
      <c r="F52" s="9">
        <v>17.7</v>
      </c>
      <c r="G52" s="9">
        <v>3.5</v>
      </c>
      <c r="H52" s="9">
        <v>18.100000000000001</v>
      </c>
      <c r="I52" s="9">
        <v>23.4</v>
      </c>
      <c r="J52" s="15">
        <f t="shared" si="0"/>
        <v>20.75</v>
      </c>
      <c r="K52">
        <f t="shared" si="1"/>
        <v>20.75</v>
      </c>
      <c r="L52" s="20">
        <f t="shared" si="2"/>
        <v>0.56032407407407403</v>
      </c>
    </row>
    <row r="53" spans="1:12" x14ac:dyDescent="0.2">
      <c r="A53" s="1">
        <v>50</v>
      </c>
      <c r="B53" s="9">
        <v>570</v>
      </c>
      <c r="C53" s="12">
        <f t="shared" si="3"/>
        <v>19.122415270000005</v>
      </c>
      <c r="D53" s="23">
        <v>0.52289351851851851</v>
      </c>
      <c r="E53" s="9">
        <v>21.6</v>
      </c>
      <c r="F53" s="9">
        <v>17.899999999999999</v>
      </c>
      <c r="G53" s="9">
        <v>3.5</v>
      </c>
      <c r="H53" s="9">
        <v>18.399999999999999</v>
      </c>
      <c r="I53" s="9">
        <v>23.6</v>
      </c>
      <c r="J53" s="15">
        <f t="shared" si="0"/>
        <v>21</v>
      </c>
      <c r="K53">
        <f t="shared" si="1"/>
        <v>21</v>
      </c>
      <c r="L53" s="20">
        <f t="shared" si="2"/>
        <v>0.56456018518518514</v>
      </c>
    </row>
    <row r="54" spans="1:12" x14ac:dyDescent="0.2">
      <c r="A54" s="6">
        <v>51</v>
      </c>
      <c r="B54" s="9">
        <v>570.70000000000005</v>
      </c>
      <c r="C54" s="12">
        <f t="shared" si="3"/>
        <v>19.278792977304761</v>
      </c>
      <c r="D54" s="23">
        <v>0.5266319444444445</v>
      </c>
      <c r="E54" s="9">
        <v>21.7</v>
      </c>
      <c r="F54" s="9">
        <v>17.899999999999999</v>
      </c>
      <c r="G54" s="9">
        <v>3.6</v>
      </c>
      <c r="H54" s="9">
        <v>18.8</v>
      </c>
      <c r="I54" s="9">
        <v>23.9</v>
      </c>
      <c r="J54" s="15">
        <f t="shared" si="0"/>
        <v>21.35</v>
      </c>
      <c r="K54">
        <f t="shared" si="1"/>
        <v>21.35</v>
      </c>
      <c r="L54" s="20">
        <f t="shared" si="2"/>
        <v>0.56829861111111113</v>
      </c>
    </row>
    <row r="55" spans="1:12" x14ac:dyDescent="0.2">
      <c r="A55" s="1">
        <v>52</v>
      </c>
      <c r="B55" s="9">
        <v>571</v>
      </c>
      <c r="C55" s="12">
        <f t="shared" si="3"/>
        <v>19.345784400289972</v>
      </c>
      <c r="D55" s="23">
        <v>0.5304282407407408</v>
      </c>
      <c r="E55" s="9">
        <v>21.8</v>
      </c>
      <c r="F55" s="9">
        <v>17.899999999999999</v>
      </c>
      <c r="G55" s="9">
        <v>3.7</v>
      </c>
      <c r="H55" s="9">
        <v>18.3</v>
      </c>
      <c r="I55" s="9">
        <v>23.3</v>
      </c>
      <c r="J55" s="15">
        <f t="shared" si="0"/>
        <v>20.8</v>
      </c>
      <c r="K55">
        <f t="shared" si="1"/>
        <v>20.8</v>
      </c>
      <c r="L55" s="20">
        <f t="shared" si="2"/>
        <v>0.57209490740740743</v>
      </c>
    </row>
    <row r="56" spans="1:12" x14ac:dyDescent="0.2">
      <c r="A56" s="6">
        <v>53</v>
      </c>
      <c r="B56" s="9">
        <v>571.4</v>
      </c>
      <c r="C56" s="12">
        <f t="shared" si="3"/>
        <v>19.435080554714148</v>
      </c>
      <c r="D56" s="23">
        <v>0.53427083333333336</v>
      </c>
      <c r="E56" s="9">
        <v>22</v>
      </c>
      <c r="F56" s="9">
        <v>18.100000000000001</v>
      </c>
      <c r="G56" s="9">
        <v>5</v>
      </c>
      <c r="H56" s="9">
        <v>22.6</v>
      </c>
      <c r="I56" s="9">
        <v>28</v>
      </c>
      <c r="J56" s="15">
        <f t="shared" si="0"/>
        <v>25.3</v>
      </c>
      <c r="K56">
        <f t="shared" si="1"/>
        <v>25.3</v>
      </c>
      <c r="L56" s="20">
        <f t="shared" si="2"/>
        <v>0.57593749999999999</v>
      </c>
    </row>
    <row r="57" spans="1:12" x14ac:dyDescent="0.2">
      <c r="A57" s="1">
        <v>54</v>
      </c>
      <c r="B57" s="9">
        <v>572</v>
      </c>
      <c r="C57" s="12">
        <f t="shared" si="3"/>
        <v>19.568969646719978</v>
      </c>
      <c r="D57" s="23">
        <v>0.53782407407407407</v>
      </c>
      <c r="E57" s="9">
        <v>22.2</v>
      </c>
      <c r="F57" s="9">
        <v>18.100000000000001</v>
      </c>
      <c r="G57" s="9">
        <v>5.7</v>
      </c>
      <c r="H57" s="9">
        <v>23.9</v>
      </c>
      <c r="I57" s="9">
        <v>30</v>
      </c>
      <c r="J57" s="15">
        <f t="shared" si="0"/>
        <v>26.95</v>
      </c>
      <c r="K57">
        <f t="shared" si="1"/>
        <v>26.95</v>
      </c>
      <c r="L57" s="20">
        <f t="shared" si="2"/>
        <v>0.5794907407407407</v>
      </c>
    </row>
    <row r="58" spans="1:12" x14ac:dyDescent="0.2">
      <c r="A58" s="6">
        <v>55</v>
      </c>
      <c r="B58" s="9">
        <v>573.4</v>
      </c>
      <c r="C58" s="12">
        <f t="shared" si="3"/>
        <v>19.881120414012543</v>
      </c>
      <c r="D58" s="23">
        <v>0.54214120370370367</v>
      </c>
      <c r="E58" s="9">
        <v>22.4</v>
      </c>
      <c r="F58" s="9">
        <v>18.2</v>
      </c>
      <c r="G58" s="9">
        <v>6.2</v>
      </c>
      <c r="H58" s="9">
        <v>24.5</v>
      </c>
      <c r="I58" s="9">
        <v>31.9</v>
      </c>
      <c r="J58" s="15">
        <f t="shared" si="0"/>
        <v>28.2</v>
      </c>
      <c r="K58">
        <f t="shared" si="1"/>
        <v>28.2</v>
      </c>
      <c r="L58" s="20">
        <f t="shared" si="2"/>
        <v>0.5838078703703703</v>
      </c>
    </row>
    <row r="59" spans="1:12" x14ac:dyDescent="0.2">
      <c r="A59" s="1">
        <v>56</v>
      </c>
      <c r="B59" s="9">
        <v>573.6</v>
      </c>
      <c r="C59" s="12">
        <f t="shared" si="3"/>
        <v>19.925684017699837</v>
      </c>
      <c r="D59" s="23">
        <v>0.54908564814814809</v>
      </c>
      <c r="E59" s="9">
        <v>22.7</v>
      </c>
      <c r="F59" s="9">
        <v>18.3</v>
      </c>
      <c r="G59" s="9">
        <v>6.1</v>
      </c>
      <c r="H59" s="9">
        <v>24.5</v>
      </c>
      <c r="I59" s="9">
        <v>30.1</v>
      </c>
      <c r="J59" s="15">
        <f t="shared" si="0"/>
        <v>27.3</v>
      </c>
      <c r="K59">
        <f t="shared" si="1"/>
        <v>27.3</v>
      </c>
      <c r="L59" s="20">
        <f t="shared" si="2"/>
        <v>0.59075231481481472</v>
      </c>
    </row>
    <row r="60" spans="1:12" x14ac:dyDescent="0.2">
      <c r="A60" s="6">
        <v>57</v>
      </c>
      <c r="B60" s="10">
        <v>574.4</v>
      </c>
      <c r="C60" s="12">
        <f t="shared" si="3"/>
        <v>20.103865083125726</v>
      </c>
      <c r="D60" s="23">
        <v>0.55603009259259251</v>
      </c>
      <c r="E60" s="9">
        <v>23</v>
      </c>
      <c r="F60" s="9">
        <v>18.5</v>
      </c>
      <c r="G60" s="9">
        <v>6</v>
      </c>
      <c r="H60" s="9">
        <v>23.9</v>
      </c>
      <c r="I60" s="9">
        <v>29.8</v>
      </c>
      <c r="J60" s="15">
        <f t="shared" si="0"/>
        <v>26.85</v>
      </c>
      <c r="K60">
        <f t="shared" si="1"/>
        <v>26.85</v>
      </c>
      <c r="L60" s="20">
        <f t="shared" si="2"/>
        <v>0.59769675925925914</v>
      </c>
    </row>
    <row r="61" spans="1:12" x14ac:dyDescent="0.2">
      <c r="A61" s="1">
        <v>58</v>
      </c>
      <c r="B61" s="9">
        <v>575.70000000000005</v>
      </c>
      <c r="C61" s="12">
        <f t="shared" si="3"/>
        <v>20.393159200696289</v>
      </c>
      <c r="D61" s="23">
        <v>0.56297453703703693</v>
      </c>
      <c r="E61" s="9">
        <v>23.3</v>
      </c>
      <c r="F61" s="9">
        <v>18.600000000000001</v>
      </c>
      <c r="G61" s="9">
        <v>5.8</v>
      </c>
      <c r="H61" s="9">
        <v>23.9</v>
      </c>
      <c r="I61" s="9">
        <v>28.9</v>
      </c>
      <c r="J61" s="15">
        <f t="shared" si="0"/>
        <v>26.4</v>
      </c>
      <c r="K61">
        <f t="shared" si="1"/>
        <v>26.4</v>
      </c>
      <c r="L61" s="20">
        <f t="shared" si="2"/>
        <v>0.60464120370370356</v>
      </c>
    </row>
    <row r="62" spans="1:12" x14ac:dyDescent="0.2">
      <c r="A62" s="6">
        <v>59</v>
      </c>
      <c r="B62" s="9">
        <v>576.5</v>
      </c>
      <c r="C62" s="12">
        <f t="shared" si="3"/>
        <v>20.57103258187874</v>
      </c>
      <c r="D62" s="23">
        <v>0.56991898148148135</v>
      </c>
      <c r="E62" s="9">
        <v>23.6</v>
      </c>
      <c r="F62" s="9">
        <v>18.7</v>
      </c>
      <c r="G62" s="9">
        <v>5.7</v>
      </c>
      <c r="H62" s="9">
        <v>24.8</v>
      </c>
      <c r="I62" s="9">
        <v>28.7</v>
      </c>
      <c r="J62" s="15">
        <f t="shared" si="0"/>
        <v>26.75</v>
      </c>
      <c r="K62">
        <f t="shared" si="1"/>
        <v>26.75</v>
      </c>
      <c r="L62" s="20">
        <f t="shared" si="2"/>
        <v>0.61158564814814798</v>
      </c>
    </row>
    <row r="63" spans="1:12" x14ac:dyDescent="0.2">
      <c r="A63" s="1">
        <v>60</v>
      </c>
      <c r="B63" s="9">
        <v>577.70000000000005</v>
      </c>
      <c r="C63" s="12">
        <f t="shared" si="3"/>
        <v>20.83762322563885</v>
      </c>
      <c r="D63" s="23">
        <v>0.57686342592592577</v>
      </c>
      <c r="E63" s="9">
        <v>23.9</v>
      </c>
      <c r="F63" s="9">
        <v>18.8</v>
      </c>
      <c r="G63" s="9">
        <v>6</v>
      </c>
      <c r="H63" s="9">
        <v>23.9</v>
      </c>
      <c r="I63" s="9">
        <v>30</v>
      </c>
      <c r="J63" s="15">
        <f t="shared" si="0"/>
        <v>26.95</v>
      </c>
      <c r="K63">
        <f t="shared" si="1"/>
        <v>26.95</v>
      </c>
      <c r="L63" s="20">
        <f t="shared" si="2"/>
        <v>0.6185300925925924</v>
      </c>
    </row>
    <row r="64" spans="1:12" x14ac:dyDescent="0.2">
      <c r="A64" s="6">
        <v>61</v>
      </c>
      <c r="B64" s="9">
        <v>579</v>
      </c>
      <c r="C64" s="12">
        <f t="shared" si="3"/>
        <v>21.126132940209999</v>
      </c>
      <c r="D64" s="23">
        <v>0.58380787037037019</v>
      </c>
      <c r="E64" s="9">
        <v>24.2</v>
      </c>
      <c r="F64" s="9">
        <v>19</v>
      </c>
      <c r="G64" s="9">
        <v>5.8</v>
      </c>
      <c r="H64" s="9">
        <v>24.5</v>
      </c>
      <c r="I64" s="9">
        <v>29.5</v>
      </c>
      <c r="J64" s="15">
        <f t="shared" si="0"/>
        <v>27</v>
      </c>
      <c r="K64">
        <f t="shared" si="1"/>
        <v>27</v>
      </c>
      <c r="L64" s="20">
        <f t="shared" si="2"/>
        <v>0.62547453703703682</v>
      </c>
    </row>
    <row r="65" spans="1:12" x14ac:dyDescent="0.2">
      <c r="A65" s="1">
        <v>62</v>
      </c>
      <c r="B65" s="9">
        <v>580.29999999999995</v>
      </c>
      <c r="C65" s="12">
        <f t="shared" si="3"/>
        <v>21.414334356294518</v>
      </c>
      <c r="D65" s="23">
        <v>0.59075231481481461</v>
      </c>
      <c r="E65" s="9">
        <v>24.5</v>
      </c>
      <c r="F65" s="9">
        <v>19.2</v>
      </c>
      <c r="G65" s="9">
        <v>6.4</v>
      </c>
      <c r="H65" s="9">
        <v>24.5</v>
      </c>
      <c r="I65" s="9">
        <v>29.7</v>
      </c>
      <c r="J65" s="15">
        <f t="shared" si="0"/>
        <v>27.1</v>
      </c>
      <c r="K65">
        <f t="shared" si="1"/>
        <v>27.1</v>
      </c>
      <c r="L65" s="20">
        <f t="shared" si="2"/>
        <v>0.63241898148148123</v>
      </c>
    </row>
    <row r="66" spans="1:12" x14ac:dyDescent="0.2">
      <c r="A66" s="6">
        <v>63</v>
      </c>
      <c r="B66" s="9">
        <v>581.70000000000005</v>
      </c>
      <c r="C66" s="12">
        <f t="shared" si="3"/>
        <v>21.724360788060068</v>
      </c>
      <c r="D66" s="23">
        <v>0.59769675925925903</v>
      </c>
      <c r="E66" s="9">
        <v>24.8</v>
      </c>
      <c r="F66" s="9">
        <v>19.399999999999999</v>
      </c>
      <c r="G66" s="9">
        <v>6.3</v>
      </c>
      <c r="H66" s="9">
        <v>24.7</v>
      </c>
      <c r="I66" s="9">
        <v>29.4</v>
      </c>
      <c r="J66" s="15">
        <f t="shared" si="0"/>
        <v>27.049999999999997</v>
      </c>
      <c r="K66">
        <f t="shared" si="1"/>
        <v>27.049999999999997</v>
      </c>
      <c r="L66" s="20">
        <f t="shared" si="2"/>
        <v>0.63936342592592565</v>
      </c>
    </row>
    <row r="67" spans="1:12" x14ac:dyDescent="0.2">
      <c r="A67" s="1">
        <v>64</v>
      </c>
      <c r="B67" s="10">
        <v>582.9</v>
      </c>
      <c r="C67" s="12">
        <f t="shared" si="3"/>
        <v>21.989813895407679</v>
      </c>
      <c r="D67" s="23">
        <v>0.60464120370370344</v>
      </c>
      <c r="E67" s="9">
        <v>25.1</v>
      </c>
      <c r="F67" s="9">
        <v>19.600000000000001</v>
      </c>
      <c r="G67" s="9">
        <v>6.5</v>
      </c>
      <c r="H67" s="9">
        <v>24.9</v>
      </c>
      <c r="I67" s="9">
        <v>30.1</v>
      </c>
      <c r="J67" s="15">
        <f t="shared" si="0"/>
        <v>27.5</v>
      </c>
      <c r="K67">
        <f t="shared" si="1"/>
        <v>27.5</v>
      </c>
      <c r="L67" s="20">
        <f t="shared" si="2"/>
        <v>0.64630787037037007</v>
      </c>
    </row>
    <row r="68" spans="1:12" x14ac:dyDescent="0.2">
      <c r="A68" s="6">
        <v>65</v>
      </c>
      <c r="B68" s="9">
        <v>584.20000000000005</v>
      </c>
      <c r="C68" s="12">
        <f t="shared" si="3"/>
        <v>22.277092819638341</v>
      </c>
      <c r="D68" s="23">
        <v>0.61158564814814786</v>
      </c>
      <c r="E68" s="9">
        <v>25.6</v>
      </c>
      <c r="F68" s="9">
        <v>19.8</v>
      </c>
      <c r="G68" s="9">
        <v>6.7</v>
      </c>
      <c r="H68" s="9">
        <v>26.2</v>
      </c>
      <c r="I68" s="9">
        <v>30.1</v>
      </c>
      <c r="J68" s="15">
        <f t="shared" ref="J68:J96" si="4">(I68+H68)/2</f>
        <v>28.15</v>
      </c>
      <c r="K68">
        <f t="shared" si="1"/>
        <v>28.15</v>
      </c>
      <c r="L68" s="20">
        <f t="shared" si="2"/>
        <v>0.65325231481481449</v>
      </c>
    </row>
    <row r="69" spans="1:12" x14ac:dyDescent="0.2">
      <c r="A69" s="1">
        <v>66</v>
      </c>
      <c r="B69" s="9">
        <v>585.4</v>
      </c>
      <c r="C69" s="12">
        <f t="shared" si="3"/>
        <v>22.542001140506926</v>
      </c>
      <c r="D69" s="23">
        <v>0.61586805555555557</v>
      </c>
      <c r="E69" s="9">
        <v>26</v>
      </c>
      <c r="F69" s="9">
        <v>20</v>
      </c>
      <c r="G69" s="9">
        <v>6.6</v>
      </c>
      <c r="H69" s="9">
        <v>25.3</v>
      </c>
      <c r="I69" s="9">
        <v>32</v>
      </c>
      <c r="J69" s="15">
        <f t="shared" si="4"/>
        <v>28.65</v>
      </c>
      <c r="K69">
        <f t="shared" ref="K69:K106" si="5">(H69+I69)/2</f>
        <v>28.65</v>
      </c>
      <c r="L69" s="20">
        <f t="shared" ref="L69:L96" si="6">D69+$L$2</f>
        <v>0.6575347222222222</v>
      </c>
    </row>
    <row r="70" spans="1:12" x14ac:dyDescent="0.2">
      <c r="A70" s="6">
        <v>67</v>
      </c>
      <c r="B70" s="9">
        <v>586.5</v>
      </c>
      <c r="C70" s="12">
        <f t="shared" si="3"/>
        <v>22.784604468703748</v>
      </c>
      <c r="D70" s="23">
        <v>0.6221296296296297</v>
      </c>
      <c r="E70" s="9">
        <v>26.2</v>
      </c>
      <c r="F70" s="9">
        <v>20.2</v>
      </c>
      <c r="G70" s="9">
        <v>4</v>
      </c>
      <c r="H70" s="9">
        <v>18.600000000000001</v>
      </c>
      <c r="I70" s="9">
        <v>23.6</v>
      </c>
      <c r="J70" s="15">
        <f t="shared" si="4"/>
        <v>21.1</v>
      </c>
      <c r="K70">
        <f t="shared" si="5"/>
        <v>21.1</v>
      </c>
      <c r="L70" s="20">
        <f t="shared" si="6"/>
        <v>0.66379629629629633</v>
      </c>
    </row>
    <row r="71" spans="1:12" x14ac:dyDescent="0.2">
      <c r="A71" s="1">
        <v>68</v>
      </c>
      <c r="B71" s="9">
        <v>587.6</v>
      </c>
      <c r="C71" s="12">
        <f t="shared" si="3"/>
        <v>23.026988717216653</v>
      </c>
      <c r="D71" s="23">
        <v>0.62578703703703698</v>
      </c>
      <c r="E71" s="9">
        <v>26.1</v>
      </c>
      <c r="F71" s="9">
        <v>20.399999999999999</v>
      </c>
      <c r="G71" s="9">
        <v>3.8</v>
      </c>
      <c r="H71" s="9">
        <v>18.399999999999999</v>
      </c>
      <c r="I71" s="9">
        <v>24.3</v>
      </c>
      <c r="J71" s="15">
        <f t="shared" si="4"/>
        <v>21.35</v>
      </c>
      <c r="K71">
        <f t="shared" si="5"/>
        <v>21.35</v>
      </c>
      <c r="L71" s="20">
        <f t="shared" si="6"/>
        <v>0.6674537037037036</v>
      </c>
    </row>
    <row r="72" spans="1:12" s="5" customFormat="1" x14ac:dyDescent="0.2">
      <c r="A72" s="4">
        <v>69</v>
      </c>
      <c r="B72" s="4">
        <v>588</v>
      </c>
      <c r="C72" s="13">
        <f t="shared" ref="C72" si="7">(B72^3)*0.00000003039+(B72^2)*-0.000144+B72*0.358-143.78</f>
        <v>23.115074174079979</v>
      </c>
      <c r="D72" s="23">
        <v>0.63276620370370373</v>
      </c>
      <c r="E72" s="4">
        <v>26.1</v>
      </c>
      <c r="F72" s="4">
        <v>20.5</v>
      </c>
      <c r="G72" s="4">
        <v>3.7</v>
      </c>
      <c r="H72" s="4">
        <v>17.600000000000001</v>
      </c>
      <c r="I72" s="4">
        <v>24</v>
      </c>
      <c r="J72" s="15">
        <f t="shared" si="4"/>
        <v>20.8</v>
      </c>
      <c r="K72">
        <f t="shared" si="5"/>
        <v>20.8</v>
      </c>
      <c r="L72" s="20">
        <f t="shared" si="6"/>
        <v>0.67443287037037036</v>
      </c>
    </row>
    <row r="73" spans="1:12" x14ac:dyDescent="0.2">
      <c r="A73" s="1">
        <v>70</v>
      </c>
      <c r="B73" s="9">
        <v>588.20000000000005</v>
      </c>
      <c r="C73" s="12">
        <f t="shared" si="3"/>
        <v>23.159106054737521</v>
      </c>
      <c r="D73" s="23">
        <v>0.64174768518518521</v>
      </c>
      <c r="E73" s="9">
        <v>26.4</v>
      </c>
      <c r="F73" s="9">
        <v>20.5</v>
      </c>
      <c r="G73" s="9">
        <v>3.7</v>
      </c>
      <c r="H73" s="9">
        <v>18.3</v>
      </c>
      <c r="I73" s="9">
        <v>23.8</v>
      </c>
      <c r="J73" s="15">
        <f t="shared" si="4"/>
        <v>21.05</v>
      </c>
      <c r="K73">
        <f t="shared" si="5"/>
        <v>21.05</v>
      </c>
      <c r="L73" s="20">
        <f t="shared" si="6"/>
        <v>0.68341435185185184</v>
      </c>
    </row>
    <row r="74" spans="1:12" x14ac:dyDescent="0.2">
      <c r="A74" s="6">
        <v>71</v>
      </c>
      <c r="B74" s="9">
        <v>587.29999999999995</v>
      </c>
      <c r="C74" s="12">
        <f t="shared" si="3"/>
        <v>22.960905635220598</v>
      </c>
      <c r="D74" s="23">
        <v>0.64964120370370371</v>
      </c>
      <c r="E74" s="9">
        <v>26.3</v>
      </c>
      <c r="F74" s="9">
        <v>20.7</v>
      </c>
      <c r="G74" s="9">
        <v>3.7</v>
      </c>
      <c r="H74" s="9">
        <v>18.100000000000001</v>
      </c>
      <c r="I74" s="9">
        <v>23.8</v>
      </c>
      <c r="J74" s="15">
        <f t="shared" si="4"/>
        <v>20.950000000000003</v>
      </c>
      <c r="K74">
        <f t="shared" si="5"/>
        <v>20.950000000000003</v>
      </c>
      <c r="L74" s="20">
        <f t="shared" si="6"/>
        <v>0.69130787037037034</v>
      </c>
    </row>
    <row r="75" spans="1:12" x14ac:dyDescent="0.2">
      <c r="A75" s="1">
        <v>72</v>
      </c>
      <c r="B75" s="9">
        <v>588</v>
      </c>
      <c r="C75" s="12">
        <f t="shared" si="3"/>
        <v>23.115074174079979</v>
      </c>
      <c r="D75" s="23">
        <v>0.65635416666666668</v>
      </c>
      <c r="E75" s="9">
        <v>26.3</v>
      </c>
      <c r="F75" s="9">
        <v>21</v>
      </c>
      <c r="G75" s="9">
        <v>3.6</v>
      </c>
      <c r="H75" s="9">
        <v>18</v>
      </c>
      <c r="I75" s="9">
        <v>24.3</v>
      </c>
      <c r="J75" s="15">
        <f t="shared" si="4"/>
        <v>21.15</v>
      </c>
      <c r="K75">
        <f t="shared" si="5"/>
        <v>21.15</v>
      </c>
      <c r="L75" s="20">
        <f t="shared" si="6"/>
        <v>0.69802083333333331</v>
      </c>
    </row>
    <row r="76" spans="1:12" x14ac:dyDescent="0.2">
      <c r="A76" s="6">
        <v>73</v>
      </c>
      <c r="B76" s="9">
        <v>588</v>
      </c>
      <c r="C76" s="12">
        <f t="shared" si="3"/>
        <v>23.115074174079979</v>
      </c>
      <c r="D76" s="23">
        <v>0.66506944444444449</v>
      </c>
      <c r="E76" s="9">
        <v>26.2</v>
      </c>
      <c r="F76" s="9">
        <v>21</v>
      </c>
      <c r="G76" s="9">
        <v>3.5</v>
      </c>
      <c r="H76" s="9">
        <v>17.399999999999999</v>
      </c>
      <c r="I76" s="9">
        <v>24.1</v>
      </c>
      <c r="J76" s="15">
        <f t="shared" si="4"/>
        <v>20.75</v>
      </c>
      <c r="K76">
        <f t="shared" si="5"/>
        <v>20.75</v>
      </c>
      <c r="L76" s="20">
        <f t="shared" si="6"/>
        <v>0.70673611111111112</v>
      </c>
    </row>
    <row r="77" spans="1:12" x14ac:dyDescent="0.2">
      <c r="A77" s="1">
        <v>74</v>
      </c>
      <c r="B77" s="9">
        <v>589.6</v>
      </c>
      <c r="C77" s="12">
        <f t="shared" si="3"/>
        <v>23.467126863703044</v>
      </c>
      <c r="D77" s="23">
        <v>0.67305555555555563</v>
      </c>
      <c r="E77" s="9">
        <v>26.3</v>
      </c>
      <c r="F77" s="9">
        <v>21.2</v>
      </c>
      <c r="G77" s="9">
        <v>3.6</v>
      </c>
      <c r="H77" s="9">
        <v>18.399999999999999</v>
      </c>
      <c r="I77" s="9">
        <v>23.3</v>
      </c>
      <c r="J77" s="15">
        <f t="shared" si="4"/>
        <v>20.85</v>
      </c>
      <c r="K77">
        <f t="shared" si="5"/>
        <v>20.85</v>
      </c>
      <c r="L77" s="20">
        <f t="shared" si="6"/>
        <v>0.71472222222222226</v>
      </c>
    </row>
    <row r="78" spans="1:12" x14ac:dyDescent="0.2">
      <c r="A78" s="6">
        <v>75</v>
      </c>
      <c r="B78" s="9">
        <v>589.5</v>
      </c>
      <c r="C78" s="12">
        <f t="shared" si="3"/>
        <v>23.445137115276253</v>
      </c>
      <c r="D78" s="23">
        <v>0.68121527777777779</v>
      </c>
      <c r="E78" s="9">
        <v>26.5</v>
      </c>
      <c r="F78" s="9">
        <v>21.3</v>
      </c>
      <c r="G78" s="9">
        <v>3.5</v>
      </c>
      <c r="H78" s="9">
        <v>17.2</v>
      </c>
      <c r="I78" s="9">
        <v>23.4</v>
      </c>
      <c r="J78" s="15">
        <f t="shared" si="4"/>
        <v>20.299999999999997</v>
      </c>
      <c r="K78">
        <f t="shared" si="5"/>
        <v>20.299999999999997</v>
      </c>
      <c r="L78" s="20">
        <f t="shared" si="6"/>
        <v>0.72288194444444442</v>
      </c>
    </row>
    <row r="79" spans="1:12" x14ac:dyDescent="0.2">
      <c r="A79" s="1">
        <v>76</v>
      </c>
      <c r="B79" s="9">
        <v>589.6</v>
      </c>
      <c r="C79" s="12">
        <f t="shared" si="3"/>
        <v>23.467126863703044</v>
      </c>
      <c r="D79" s="23">
        <v>0.68913194444444437</v>
      </c>
      <c r="E79" s="9">
        <v>26.5</v>
      </c>
      <c r="F79" s="9">
        <v>21.5</v>
      </c>
      <c r="G79" s="9">
        <v>3.6</v>
      </c>
      <c r="H79" s="9">
        <v>17.8</v>
      </c>
      <c r="I79" s="9">
        <v>23.3</v>
      </c>
      <c r="J79" s="15">
        <f t="shared" si="4"/>
        <v>20.55</v>
      </c>
      <c r="K79">
        <f t="shared" si="5"/>
        <v>20.55</v>
      </c>
      <c r="L79" s="20">
        <f t="shared" si="6"/>
        <v>0.730798611111111</v>
      </c>
    </row>
    <row r="80" spans="1:12" x14ac:dyDescent="0.2">
      <c r="A80" s="6">
        <v>77</v>
      </c>
      <c r="B80" s="9">
        <v>590.4</v>
      </c>
      <c r="C80" s="12">
        <f t="shared" si="3"/>
        <v>23.642979889192929</v>
      </c>
      <c r="D80" s="23">
        <v>0.69678240740740738</v>
      </c>
      <c r="E80" s="9">
        <v>26.6</v>
      </c>
      <c r="F80" s="9">
        <v>21.7</v>
      </c>
      <c r="G80" s="9">
        <v>3.6</v>
      </c>
      <c r="H80" s="9">
        <v>17.8</v>
      </c>
      <c r="I80" s="9">
        <v>24.5</v>
      </c>
      <c r="J80" s="15">
        <f t="shared" si="4"/>
        <v>21.15</v>
      </c>
      <c r="K80">
        <f t="shared" si="5"/>
        <v>21.15</v>
      </c>
      <c r="L80" s="20">
        <f t="shared" si="6"/>
        <v>0.73844907407407401</v>
      </c>
    </row>
    <row r="81" spans="1:12" x14ac:dyDescent="0.2">
      <c r="A81" s="1">
        <v>78</v>
      </c>
      <c r="B81" s="9">
        <v>590.5</v>
      </c>
      <c r="C81" s="12">
        <f t="shared" si="3"/>
        <v>23.664953399873752</v>
      </c>
      <c r="D81" s="23">
        <v>0.70405092592592589</v>
      </c>
      <c r="E81" s="9">
        <v>26.5</v>
      </c>
      <c r="F81" s="9">
        <v>21.7</v>
      </c>
      <c r="G81" s="9">
        <v>3.5</v>
      </c>
      <c r="H81" s="9">
        <v>17.2</v>
      </c>
      <c r="I81" s="9">
        <v>22.9</v>
      </c>
      <c r="J81" s="15">
        <f t="shared" si="4"/>
        <v>20.049999999999997</v>
      </c>
      <c r="K81">
        <f t="shared" si="5"/>
        <v>20.049999999999997</v>
      </c>
      <c r="L81" s="20">
        <f t="shared" si="6"/>
        <v>0.74571759259259252</v>
      </c>
    </row>
    <row r="82" spans="1:12" x14ac:dyDescent="0.2">
      <c r="A82" s="6">
        <v>79</v>
      </c>
      <c r="B82" s="9">
        <v>590.6</v>
      </c>
      <c r="C82" s="12">
        <f t="shared" si="3"/>
        <v>23.686925107272231</v>
      </c>
      <c r="D82" s="23">
        <v>0.71417824074074077</v>
      </c>
      <c r="E82" s="9">
        <v>26.6</v>
      </c>
      <c r="F82" s="9">
        <v>22</v>
      </c>
      <c r="G82" s="9">
        <v>3.3</v>
      </c>
      <c r="H82" s="9">
        <v>18.100000000000001</v>
      </c>
      <c r="I82" s="9">
        <v>22.6</v>
      </c>
      <c r="J82" s="15">
        <f t="shared" si="4"/>
        <v>20.350000000000001</v>
      </c>
      <c r="K82">
        <f t="shared" si="5"/>
        <v>20.350000000000001</v>
      </c>
      <c r="L82" s="20">
        <f t="shared" si="6"/>
        <v>0.7558449074074074</v>
      </c>
    </row>
    <row r="83" spans="1:12" x14ac:dyDescent="0.2">
      <c r="A83" s="1">
        <v>80</v>
      </c>
      <c r="B83" s="9">
        <v>590.79999999999995</v>
      </c>
      <c r="C83" s="12">
        <f t="shared" si="3"/>
        <v>23.730863112951681</v>
      </c>
      <c r="D83" s="23">
        <v>0.72217592592592594</v>
      </c>
      <c r="E83" s="9">
        <v>26.7</v>
      </c>
      <c r="F83" s="9">
        <v>22.1</v>
      </c>
      <c r="G83" s="9">
        <v>3.2</v>
      </c>
      <c r="H83" s="9">
        <v>16.100000000000001</v>
      </c>
      <c r="I83" s="9">
        <v>23</v>
      </c>
      <c r="J83" s="15">
        <f t="shared" si="4"/>
        <v>19.55</v>
      </c>
      <c r="K83">
        <f t="shared" si="5"/>
        <v>19.55</v>
      </c>
      <c r="L83" s="20">
        <f t="shared" si="6"/>
        <v>0.76384259259259257</v>
      </c>
    </row>
    <row r="84" spans="1:12" x14ac:dyDescent="0.2">
      <c r="A84" s="6">
        <v>81</v>
      </c>
      <c r="B84" s="9">
        <v>591.4</v>
      </c>
      <c r="C84" s="12">
        <f t="shared" si="3"/>
        <v>23.862633870178144</v>
      </c>
      <c r="D84" s="23">
        <v>0.7302199074074075</v>
      </c>
      <c r="E84" s="9">
        <v>26.8</v>
      </c>
      <c r="F84" s="9">
        <v>22.2</v>
      </c>
      <c r="G84" s="9">
        <v>3.3</v>
      </c>
      <c r="H84" s="9">
        <v>16.399999999999999</v>
      </c>
      <c r="I84" s="9">
        <v>23.5</v>
      </c>
      <c r="J84" s="15">
        <f t="shared" si="4"/>
        <v>19.95</v>
      </c>
      <c r="K84">
        <f t="shared" si="5"/>
        <v>19.95</v>
      </c>
      <c r="L84" s="20">
        <f t="shared" si="6"/>
        <v>0.77188657407407413</v>
      </c>
    </row>
    <row r="85" spans="1:12" x14ac:dyDescent="0.2">
      <c r="A85" s="1">
        <v>82</v>
      </c>
      <c r="B85" s="9">
        <v>592</v>
      </c>
      <c r="C85" s="12">
        <f t="shared" si="3"/>
        <v>23.994339768319975</v>
      </c>
      <c r="D85" s="23">
        <v>0.73829861111111106</v>
      </c>
      <c r="E85" s="9">
        <v>26.9</v>
      </c>
      <c r="F85" s="9">
        <v>22.3</v>
      </c>
      <c r="G85" s="9">
        <v>3.3</v>
      </c>
      <c r="H85" s="9">
        <v>17</v>
      </c>
      <c r="I85" s="9">
        <v>22.9</v>
      </c>
      <c r="J85" s="15">
        <f t="shared" si="4"/>
        <v>19.95</v>
      </c>
      <c r="K85">
        <f t="shared" si="5"/>
        <v>19.95</v>
      </c>
      <c r="L85" s="20">
        <f t="shared" si="6"/>
        <v>0.77996527777777769</v>
      </c>
    </row>
    <row r="86" spans="1:12" x14ac:dyDescent="0.2">
      <c r="A86" s="6">
        <v>83</v>
      </c>
      <c r="B86" s="9">
        <v>592.4</v>
      </c>
      <c r="C86" s="12">
        <f t="shared" si="3"/>
        <v>24.082107687039354</v>
      </c>
      <c r="D86" s="23">
        <v>0.74585648148148143</v>
      </c>
      <c r="E86" s="9">
        <v>27</v>
      </c>
      <c r="F86" s="9">
        <v>22.4</v>
      </c>
      <c r="G86" s="9">
        <v>3.4</v>
      </c>
      <c r="H86" s="9">
        <v>18.2</v>
      </c>
      <c r="I86" s="9">
        <v>23.2</v>
      </c>
      <c r="J86" s="15">
        <f t="shared" si="4"/>
        <v>20.7</v>
      </c>
      <c r="K86">
        <f t="shared" si="5"/>
        <v>20.7</v>
      </c>
      <c r="L86" s="20">
        <f t="shared" si="6"/>
        <v>0.78752314814814806</v>
      </c>
    </row>
    <row r="87" spans="1:12" x14ac:dyDescent="0.2">
      <c r="A87" s="1">
        <v>84</v>
      </c>
      <c r="B87" s="9">
        <v>592.79999999999995</v>
      </c>
      <c r="C87" s="12">
        <f t="shared" si="3"/>
        <v>24.169846808673242</v>
      </c>
      <c r="D87" s="23">
        <v>0.75346064814814817</v>
      </c>
      <c r="E87" s="9">
        <v>26.9</v>
      </c>
      <c r="F87" s="9">
        <v>22.5</v>
      </c>
      <c r="G87" s="9">
        <v>3.3</v>
      </c>
      <c r="H87" s="9">
        <v>16.100000000000001</v>
      </c>
      <c r="I87" s="9">
        <v>23.4</v>
      </c>
      <c r="J87" s="15">
        <f t="shared" si="4"/>
        <v>19.75</v>
      </c>
      <c r="K87">
        <f t="shared" si="5"/>
        <v>19.75</v>
      </c>
      <c r="L87" s="20">
        <f t="shared" si="6"/>
        <v>0.7951273148148148</v>
      </c>
    </row>
    <row r="88" spans="1:12" x14ac:dyDescent="0.2">
      <c r="A88" s="6">
        <v>85</v>
      </c>
      <c r="B88" s="9">
        <v>593.29999999999995</v>
      </c>
      <c r="C88" s="12">
        <f t="shared" si="3"/>
        <v>24.279480232592419</v>
      </c>
      <c r="D88" s="23">
        <v>0.76090277777777771</v>
      </c>
      <c r="E88" s="9">
        <v>27.1</v>
      </c>
      <c r="F88" s="9">
        <v>22.6</v>
      </c>
      <c r="G88" s="9">
        <v>3.3</v>
      </c>
      <c r="H88" s="9">
        <v>17.399999999999999</v>
      </c>
      <c r="I88" s="9">
        <v>22.8</v>
      </c>
      <c r="J88" s="15">
        <f t="shared" si="4"/>
        <v>20.100000000000001</v>
      </c>
      <c r="K88">
        <f t="shared" si="5"/>
        <v>20.100000000000001</v>
      </c>
      <c r="L88" s="20">
        <f t="shared" si="6"/>
        <v>0.80256944444444434</v>
      </c>
    </row>
    <row r="89" spans="1:12" x14ac:dyDescent="0.2">
      <c r="A89" s="1">
        <v>86</v>
      </c>
      <c r="B89" s="9">
        <v>594</v>
      </c>
      <c r="C89" s="12">
        <f t="shared" si="3"/>
        <v>24.43289150775999</v>
      </c>
      <c r="D89" s="23">
        <v>0.76858796296296295</v>
      </c>
      <c r="E89" s="9">
        <v>27.2</v>
      </c>
      <c r="F89" s="9">
        <v>22.7</v>
      </c>
      <c r="G89" s="9">
        <v>3.3</v>
      </c>
      <c r="H89" s="9">
        <v>17.8</v>
      </c>
      <c r="I89" s="9">
        <v>22.2</v>
      </c>
      <c r="J89" s="15">
        <f t="shared" si="4"/>
        <v>20</v>
      </c>
      <c r="K89">
        <f t="shared" si="5"/>
        <v>20</v>
      </c>
      <c r="L89" s="20">
        <f t="shared" si="6"/>
        <v>0.81025462962962957</v>
      </c>
    </row>
    <row r="90" spans="1:12" x14ac:dyDescent="0.2">
      <c r="A90" s="6">
        <v>87</v>
      </c>
      <c r="B90" s="9">
        <v>594.5</v>
      </c>
      <c r="C90" s="12">
        <f t="shared" si="3"/>
        <v>24.54241707936373</v>
      </c>
      <c r="D90" s="23">
        <v>0.77615740740740746</v>
      </c>
      <c r="E90" s="9">
        <v>27.2</v>
      </c>
      <c r="F90" s="9">
        <v>22.8</v>
      </c>
      <c r="G90" s="9">
        <v>3.3</v>
      </c>
      <c r="H90" s="9">
        <v>17.600000000000001</v>
      </c>
      <c r="I90" s="9">
        <v>23.8</v>
      </c>
      <c r="J90" s="15">
        <f t="shared" si="4"/>
        <v>20.700000000000003</v>
      </c>
      <c r="K90">
        <f t="shared" si="5"/>
        <v>20.700000000000003</v>
      </c>
      <c r="L90" s="20">
        <f t="shared" si="6"/>
        <v>0.81782407407407409</v>
      </c>
    </row>
    <row r="91" spans="1:12" x14ac:dyDescent="0.2">
      <c r="A91" s="1">
        <v>88</v>
      </c>
      <c r="B91" s="9">
        <v>594.6</v>
      </c>
      <c r="C91" s="12">
        <f t="shared" si="3"/>
        <v>24.564316804989033</v>
      </c>
      <c r="D91" s="23">
        <v>0.78365740740740741</v>
      </c>
      <c r="E91" s="9">
        <v>27.3</v>
      </c>
      <c r="F91" s="9">
        <v>22.9</v>
      </c>
      <c r="G91" s="9">
        <v>3.4</v>
      </c>
      <c r="H91" s="9">
        <v>17.399999999999999</v>
      </c>
      <c r="I91" s="9">
        <v>23.2</v>
      </c>
      <c r="J91" s="15">
        <f t="shared" si="4"/>
        <v>20.299999999999997</v>
      </c>
      <c r="K91">
        <f t="shared" si="5"/>
        <v>20.299999999999997</v>
      </c>
      <c r="L91" s="20">
        <f t="shared" si="6"/>
        <v>0.82532407407407404</v>
      </c>
    </row>
    <row r="92" spans="1:12" x14ac:dyDescent="0.2">
      <c r="A92" s="6">
        <v>89</v>
      </c>
      <c r="B92" s="9">
        <v>594.9</v>
      </c>
      <c r="C92" s="12">
        <f t="shared" si="3"/>
        <v>24.630005207756113</v>
      </c>
      <c r="D92" s="23">
        <v>0.79221064814814812</v>
      </c>
      <c r="E92" s="9">
        <v>27.4</v>
      </c>
      <c r="F92" s="9">
        <v>23.1</v>
      </c>
      <c r="G92" s="9">
        <v>3.4</v>
      </c>
      <c r="H92" s="9">
        <v>17.100000000000001</v>
      </c>
      <c r="I92" s="9">
        <v>23.7</v>
      </c>
      <c r="J92" s="15">
        <f t="shared" si="4"/>
        <v>20.399999999999999</v>
      </c>
      <c r="K92">
        <f t="shared" si="5"/>
        <v>20.399999999999999</v>
      </c>
      <c r="L92" s="20">
        <f t="shared" si="6"/>
        <v>0.83387731481481475</v>
      </c>
    </row>
    <row r="93" spans="1:12" x14ac:dyDescent="0.2">
      <c r="A93" s="1">
        <v>90</v>
      </c>
      <c r="B93" s="9">
        <v>595</v>
      </c>
      <c r="C93" s="12">
        <f t="shared" si="3"/>
        <v>24.651897751250004</v>
      </c>
      <c r="D93" s="23">
        <v>0.79935185185185187</v>
      </c>
      <c r="E93" s="9">
        <v>27.5</v>
      </c>
      <c r="F93" s="9">
        <v>23.2</v>
      </c>
      <c r="G93" s="9">
        <v>3.2</v>
      </c>
      <c r="H93" s="9">
        <v>17.600000000000001</v>
      </c>
      <c r="I93" s="9">
        <v>22.4</v>
      </c>
      <c r="J93" s="15">
        <f t="shared" si="4"/>
        <v>20</v>
      </c>
      <c r="K93">
        <f t="shared" si="5"/>
        <v>20</v>
      </c>
      <c r="L93" s="20">
        <f t="shared" si="6"/>
        <v>0.8410185185185185</v>
      </c>
    </row>
    <row r="94" spans="1:12" x14ac:dyDescent="0.2">
      <c r="A94" s="6">
        <v>91</v>
      </c>
      <c r="B94" s="9">
        <v>595.79999999999995</v>
      </c>
      <c r="C94" s="12">
        <f t="shared" si="3"/>
        <v>24.826973491745662</v>
      </c>
      <c r="D94" s="23">
        <v>0.80649305555555562</v>
      </c>
      <c r="E94" s="9">
        <v>27.6</v>
      </c>
      <c r="F94" s="9">
        <v>23.2</v>
      </c>
      <c r="G94" s="9">
        <v>3.2</v>
      </c>
      <c r="H94" s="9">
        <v>16.5</v>
      </c>
      <c r="I94" s="9">
        <v>23.2</v>
      </c>
      <c r="J94" s="15">
        <f t="shared" si="4"/>
        <v>19.850000000000001</v>
      </c>
      <c r="K94">
        <f t="shared" si="5"/>
        <v>19.850000000000001</v>
      </c>
      <c r="L94" s="20">
        <f t="shared" si="6"/>
        <v>0.84815972222222225</v>
      </c>
    </row>
    <row r="95" spans="1:12" x14ac:dyDescent="0.2">
      <c r="A95" s="1">
        <v>92</v>
      </c>
      <c r="B95" s="9">
        <v>595.5</v>
      </c>
      <c r="C95" s="12">
        <f t="shared" si="3"/>
        <v>24.761333546211233</v>
      </c>
      <c r="D95" s="23">
        <v>0.8127199074074074</v>
      </c>
      <c r="E95" s="9">
        <v>27.6</v>
      </c>
      <c r="F95" s="9">
        <v>23.3</v>
      </c>
      <c r="G95" s="9">
        <v>3.1</v>
      </c>
      <c r="H95" s="9">
        <v>16.3</v>
      </c>
      <c r="I95" s="9">
        <v>22.7</v>
      </c>
      <c r="J95" s="15">
        <f t="shared" si="4"/>
        <v>19.5</v>
      </c>
      <c r="K95">
        <f t="shared" si="5"/>
        <v>19.5</v>
      </c>
      <c r="L95" s="20">
        <f t="shared" si="6"/>
        <v>0.85438657407407403</v>
      </c>
    </row>
    <row r="96" spans="1:12" x14ac:dyDescent="0.2">
      <c r="A96" s="6">
        <v>93</v>
      </c>
      <c r="B96" s="9">
        <v>595.5</v>
      </c>
      <c r="C96" s="12">
        <f t="shared" si="3"/>
        <v>24.761333546211233</v>
      </c>
      <c r="D96" s="23">
        <v>0.8145486111111111</v>
      </c>
      <c r="E96" s="9">
        <v>27.6</v>
      </c>
      <c r="F96" s="9">
        <v>23.4</v>
      </c>
      <c r="G96" s="9">
        <v>0.9</v>
      </c>
      <c r="H96" s="9">
        <v>0</v>
      </c>
      <c r="I96" s="9">
        <v>0</v>
      </c>
      <c r="J96" s="15">
        <f t="shared" si="4"/>
        <v>0</v>
      </c>
      <c r="K96">
        <f t="shared" si="5"/>
        <v>0</v>
      </c>
      <c r="L96" s="20">
        <f t="shared" si="6"/>
        <v>0.85621527777777773</v>
      </c>
    </row>
    <row r="97" spans="11:11" x14ac:dyDescent="0.2">
      <c r="K97">
        <f t="shared" si="5"/>
        <v>0</v>
      </c>
    </row>
    <row r="98" spans="11:11" x14ac:dyDescent="0.2">
      <c r="K98">
        <f t="shared" si="5"/>
        <v>0</v>
      </c>
    </row>
    <row r="99" spans="11:11" x14ac:dyDescent="0.2">
      <c r="K99">
        <f t="shared" si="5"/>
        <v>0</v>
      </c>
    </row>
    <row r="100" spans="11:11" x14ac:dyDescent="0.2">
      <c r="K100">
        <f t="shared" si="5"/>
        <v>0</v>
      </c>
    </row>
    <row r="101" spans="11:11" x14ac:dyDescent="0.2">
      <c r="K101">
        <f t="shared" si="5"/>
        <v>0</v>
      </c>
    </row>
    <row r="102" spans="11:11" x14ac:dyDescent="0.2">
      <c r="K102">
        <f t="shared" si="5"/>
        <v>0</v>
      </c>
    </row>
    <row r="103" spans="11:11" x14ac:dyDescent="0.2">
      <c r="K103">
        <f t="shared" si="5"/>
        <v>0</v>
      </c>
    </row>
    <row r="104" spans="11:11" x14ac:dyDescent="0.2">
      <c r="K104">
        <f t="shared" si="5"/>
        <v>0</v>
      </c>
    </row>
    <row r="105" spans="11:11" x14ac:dyDescent="0.2">
      <c r="K105">
        <f t="shared" si="5"/>
        <v>0</v>
      </c>
    </row>
    <row r="106" spans="11:11" x14ac:dyDescent="0.2">
      <c r="K106">
        <f t="shared" si="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Torque data 12h</vt:lpstr>
      <vt:lpstr>Low Main Bearing Temperature</vt:lpstr>
      <vt:lpstr>High Main Bearing Temperature</vt:lpstr>
      <vt:lpstr>Torque Motor Temperature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Anders Sandström</cp:lastModifiedBy>
  <dcterms:created xsi:type="dcterms:W3CDTF">2012-12-28T14:46:38Z</dcterms:created>
  <dcterms:modified xsi:type="dcterms:W3CDTF">2022-03-09T13:51:49Z</dcterms:modified>
</cp:coreProperties>
</file>